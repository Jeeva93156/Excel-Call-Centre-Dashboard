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weth\OneDrive\Documents\JEEVA\PROJECT\PROJECT DATA\"/>
    </mc:Choice>
  </mc:AlternateContent>
  <xr:revisionPtr revIDLastSave="0" documentId="13_ncr:1_{8885153A-286E-4261-99EC-5AE4F78D0F2F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Pivots" sheetId="6" r:id="rId1"/>
  </sheets>
  <definedNames>
    <definedName name="_xlcn.WorksheetConnection_07.sampledataexcelportfolioproject.xlsxcalls" hidden="1">calls</definedName>
    <definedName name="_xlcn.WorksheetConnection_07.sampledataexcelportfolioproject.xlsxcustomers" hidden="1">customers</definedName>
  </definedNames>
  <calcPr calcId="191029"/>
  <pivotCaches>
    <pivotCache cacheId="0" r:id="rId2"/>
    <pivotCache cacheId="1" r:id="rId3"/>
    <pivotCache cacheId="2" r:id="rId4"/>
    <pivotCache cacheId="3" r:id="rId5"/>
    <pivotCache cacheId="12" r:id="rId6"/>
    <pivotCache cacheId="15" r:id="rId7"/>
    <pivotCache cacheId="18" r:id="rId8"/>
    <pivotCache cacheId="21" r:id="rId9"/>
    <pivotCache cacheId="2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07.sample-data-excel-portfolio-project.xlsx!customers"/>
          <x15:modelTable id="calls" name="calls" connection="WorksheetConnection_07.sample-data-excel-portfolio-project.xlsx!calls"/>
        </x15:modelTables>
        <x15:modelRelationships>
          <x15:modelRelationship fromTable="calls" fromColumn="Customer ID" toTable="customers" toColumn="Custom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ls" columnName="Date of Call" columnId="Date of Call">
                <x16:calculatedTimeColumn columnName="Date of Call (Month Index)" columnId="Date of Call (Month Index)" contentType="monthsindex" isSelected="1"/>
                <x16:calculatedTimeColumn columnName="Date of Call (Month)" columnId="Date of Call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" i="6" l="1"/>
  <c r="H55" i="6"/>
  <c r="H59" i="6" s="1"/>
  <c r="H65" i="6" s="1"/>
  <c r="H54" i="6"/>
  <c r="H58" i="6" s="1"/>
  <c r="H64" i="6" s="1"/>
  <c r="H53" i="6"/>
  <c r="H63" i="6" s="1"/>
  <c r="I39" i="6"/>
  <c r="I42" i="6" s="1"/>
  <c r="E42" i="6" a="1"/>
  <c r="E42" i="6" s="1"/>
  <c r="I46" i="6" l="1"/>
  <c r="H45" i="6"/>
  <c r="I45" i="6"/>
  <c r="I44" i="6"/>
  <c r="H46" i="6"/>
  <c r="H44" i="6"/>
  <c r="I43" i="6"/>
  <c r="H43" i="6"/>
  <c r="H4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9F852-9FD5-4977-AE6F-A07B6D3DFC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168219B-493B-41C0-8881-CC7E4BD84A9A}" name="WorksheetConnection_07.sample-data-excel-portfolio-project.xlsx!calls" type="102" refreshedVersion="8" minRefreshableVersion="5">
    <extLst>
      <ext xmlns:x15="http://schemas.microsoft.com/office/spreadsheetml/2010/11/main" uri="{DE250136-89BD-433C-8126-D09CA5730AF9}">
        <x15:connection id="calls" autoDelete="1">
          <x15:rangePr sourceName="_xlcn.WorksheetConnection_07.sampledataexcelportfolioproject.xlsxcalls"/>
        </x15:connection>
      </ext>
    </extLst>
  </connection>
  <connection id="3" xr16:uid="{D9FE3EC2-9BD7-4A23-AC1A-57393DD70C6C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07.sampledataexcelportfolioproject.xlsxcustomer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<sst xmlns="http://schemas.openxmlformats.org/spreadsheetml/2006/main" count="102" uniqueCount="67">
  <si>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</si>
  <si>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</si>
  <si>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</si>
  <si>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</si>
  <si>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</si>
  <si>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</si>
  <si>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</si>
  <si>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</si>
  <si>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</si>
  <si>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</si>
  <si>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</si>
  <si>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</si>
  <si>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</si>
  <si>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</si>
  <si>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</si>
  <si>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</si>
  <si>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</si>
  <si>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</si>
  <si>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</si>
  <si>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</si>
  <si>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Male</t>
  </si>
  <si>
    <t>Female</t>
  </si>
  <si>
    <t>Columbus</t>
  </si>
  <si>
    <t>Cleveland</t>
  </si>
  <si>
    <t>Cincinnati</t>
  </si>
  <si>
    <t>Call Count</t>
  </si>
  <si>
    <t>Total Amount</t>
  </si>
  <si>
    <t>Total Duration</t>
  </si>
  <si>
    <t>Avg.Rating</t>
  </si>
  <si>
    <t>5*Calls</t>
  </si>
  <si>
    <t>Row Labels</t>
  </si>
  <si>
    <t>Grand Total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</si>
  <si>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</si>
  <si>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</si>
  <si>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</si>
  <si>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</si>
  <si>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</si>
  <si>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</si>
  <si>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</si>
  <si>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</si>
  <si>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</si>
  <si>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</si>
  <si>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</si>
  <si>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</si>
  <si>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</si>
  <si>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Call Count2</t>
  </si>
  <si>
    <t>Friday</t>
  </si>
  <si>
    <t>Monday</t>
  </si>
  <si>
    <t>Saturday</t>
  </si>
  <si>
    <t>Sunday</t>
  </si>
  <si>
    <t>Thursday</t>
  </si>
  <si>
    <t>Tuesday</t>
  </si>
  <si>
    <t>Wednesday</t>
  </si>
  <si>
    <t>For Graph</t>
  </si>
  <si>
    <t>Rep</t>
  </si>
  <si>
    <t>Call</t>
  </si>
  <si>
    <t>Amount</t>
  </si>
  <si>
    <t>Sel.Amount</t>
  </si>
  <si>
    <t>Sel.Calls</t>
  </si>
  <si>
    <t>Selected rep</t>
  </si>
  <si>
    <t>Rep Summary</t>
  </si>
  <si>
    <t>Call Rank</t>
  </si>
  <si>
    <t>% of Calls</t>
  </si>
  <si>
    <t>Amount Rank</t>
  </si>
  <si>
    <t>Calls</t>
  </si>
  <si>
    <t>Labels:</t>
  </si>
  <si>
    <t>Image: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</si>
</sst>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\$#,##0;\(\$#,##0\);\$#,##0"/>
    <numFmt numFmtId="166" formatCode="0.0"/>
    <numFmt numFmtId="167" formatCode="&quot;$&quot;#,###.0,&quot;k&quot;"/>
  </numFmts>
  <fonts count="2" x14ac:knownFonts="1"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2" borderId="0" xfId="0" applyFill="1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2">
    <dxf>
      <fill>
        <patternFill patternType="solid">
          <bgColor theme="6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"/>
    </tableStyle>
  </tableStyles>
  <colors>
    <mruColors>
      <color rgb="FFE0E0E0"/>
      <color rgb="FF7F8C8D"/>
      <color rgb="FFF5F7FA"/>
      <color rgb="FF2F80ED"/>
      <color rgb="FF2C3E50"/>
      <color rgb="FF27AE6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styles" Target="styles.xml"/><Relationship Id="rId26" Type="http://schemas.microsoft.com/office/2022/10/relationships/richValueRel" Target="richData/richValueRel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4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9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0.512178819445" backgroundQuery="1" createdVersion="8" refreshedVersion="8" minRefreshableVersion="3" recordCount="0" supportSubquery="1" supportAdvancedDrill="1" xr:uid="{038ED2B3-F69D-4373-9A5C-49CFED82866A}">
  <cacheSource type="external" connectionId="1"/>
  <cacheFields count="3">
    <cacheField name="[Measures].[Call Count]" caption="Call Count" numFmtId="0" hierarchy="17" level="32767"/>
    <cacheField name="[Measures].[Total Amount]" caption="Total Amount" numFmtId="0" hierarchy="18" level="32767"/>
    <cacheField name="[calls].[Representative].[Representative]" caption="Representative" numFmtId="0" hierarchy="3" level="1">
      <sharedItems count="5">
        <s v="R01"/>
        <s v="R02"/>
        <s v="R03"/>
        <s v="R04"/>
        <s v="R05"/>
      </sharedItems>
    </cacheField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2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0"/>
      </fieldsUsage>
    </cacheHierarchy>
    <cacheHierarchy uniqueName="[Measures].[Total Amount]" caption="Total Amount" measure="1" displayFolder="" measureGroup="calls" count="0" oneField="1">
      <fieldsUsage count="1">
        <fieldUsage x="1"/>
      </fieldsUsage>
    </cacheHierarchy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49.754765972219" backgroundQuery="1" createdVersion="8" refreshedVersion="8" minRefreshableVersion="3" recordCount="0" supportSubquery="1" supportAdvancedDrill="1" xr:uid="{3EE40496-C29B-447B-A2EB-D2CE01299A42}">
  <cacheSource type="external" connectionId="1"/>
  <cacheFields count="5">
    <cacheField name="[Measures].[Call Count]" caption="Call Count" numFmtId="0" hierarchy="17" level="32767"/>
    <cacheField name="[Measures].[Total Amount]" caption="Total Amount" numFmtId="0" hierarchy="18" level="32767"/>
    <cacheField name="[Measures].[Total Duration]" caption="Total Duration" numFmtId="0" hierarchy="19" level="32767"/>
    <cacheField name="[Measures].[Avg.Rating]" caption="Avg.Rating" numFmtId="0" hierarchy="20" level="32767"/>
    <cacheField name="[Measures].[5*Calls]" caption="5*Calls" numFmtId="0" hierarchy="21" level="32767"/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0" memberValueDatatype="130" unbalanced="0"/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0"/>
      </fieldsUsage>
    </cacheHierarchy>
    <cacheHierarchy uniqueName="[Measures].[Total Amount]" caption="Total Amount" measure="1" displayFolder="" measureGroup="calls" count="0" oneField="1">
      <fieldsUsage count="1">
        <fieldUsage x="1"/>
      </fieldsUsage>
    </cacheHierarchy>
    <cacheHierarchy uniqueName="[Measures].[Total Duration]" caption="Total Duration" measure="1" displayFolder="" measureGroup="calls" count="0" oneField="1">
      <fieldsUsage count="1">
        <fieldUsage x="2"/>
      </fieldsUsage>
    </cacheHierarchy>
    <cacheHierarchy uniqueName="[Measures].[Avg.Rating]" caption="Avg.Rating" measure="1" displayFolder="" measureGroup="calls" count="0" oneField="1">
      <fieldsUsage count="1">
        <fieldUsage x="3"/>
      </fieldsUsage>
    </cacheHierarchy>
    <cacheHierarchy uniqueName="[Measures].[5*Calls]" caption="5*Calls" measure="1" displayFolder="" measureGroup="calls" count="0" oneField="1">
      <fieldsUsage count="1">
        <fieldUsage x="4"/>
      </fieldsUsage>
    </cacheHierarchy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0.554590509259" backgroundQuery="1" createdVersion="8" refreshedVersion="8" minRefreshableVersion="3" recordCount="0" supportSubquery="1" supportAdvancedDrill="1" xr:uid="{04882FD3-CBA7-44FC-919D-18C28382DE3A}">
  <cacheSource type="external" connectionId="1"/>
  <cacheFields count="3">
    <cacheField name="[customers].[City].[City]" caption="City" numFmtId="0" hierarchy="15" level="1">
      <sharedItems count="3">
        <s v="Cincinnati"/>
        <s v="Cleveland"/>
        <s v="Columbus"/>
      </sharedItems>
    </cacheField>
    <cacheField name="[customers].[Gedner].[Gedner]" caption="Gedner" numFmtId="0" hierarchy="13" level="1">
      <sharedItems count="2">
        <s v="Female"/>
        <s v="Male"/>
      </sharedItems>
    </cacheField>
    <cacheField name="[Measures].[Call Count]" caption="Call Count" numFmtId="0" hierarchy="17" level="32767"/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0" memberValueDatatype="130" unbalanced="0"/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2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0.5703587963" backgroundQuery="1" createdVersion="8" refreshedVersion="8" minRefreshableVersion="3" recordCount="0" supportSubquery="1" supportAdvancedDrill="1" xr:uid="{F10883DE-2F2B-4321-A910-81DFF2C501AE}">
  <cacheSource type="external" connectionId="1"/>
  <cacheFields count="4">
    <cacheField name="[calls].[Representative].[Representative]" caption="Representative" numFmtId="0" hierarchy="3" level="1">
      <sharedItems count="5">
        <s v="R01"/>
        <s v="R02"/>
        <s v="R03"/>
        <s v="R04"/>
        <s v="R05"/>
      </sharedItems>
    </cacheField>
    <cacheField name="[customers].[City].[City]" caption="City" numFmtId="0" hierarchy="15" level="1">
      <sharedItems count="3">
        <s v="Cincinnati"/>
        <s v="Cleveland"/>
        <s v="Columbus"/>
      </sharedItems>
    </cacheField>
    <cacheField name="[customers].[Customer ID].[Customer ID]" caption="Customer ID" numFmtId="0" hierarchy="12" level="1">
      <sharedItems count="15">
        <s v="C0003"/>
        <s v="C0004"/>
        <s v="C0011"/>
        <s v="C0012"/>
        <s v="C0002"/>
        <s v="C0007"/>
        <s v="C0008"/>
        <s v="C0010"/>
        <s v="C0013"/>
        <s v="C0015"/>
        <s v="C0001"/>
        <s v="C0005"/>
        <s v="C0006"/>
        <s v="C0009"/>
        <s v="C0014"/>
      </sharedItems>
    </cacheField>
    <cacheField name="[Measures].[Total Amount]" caption="Total Amount" numFmtId="0" hierarchy="18" level="32767"/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2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Gedner]" caption="Gedner" attribute="1" defaultMemberUniqueName="[customers].[Gedner].[All]" allUniqueName="[customers].[Gedner].[All]" dimensionUniqueName="[customers]" displayFolder="" count="2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1"/>
      </fieldsUsage>
    </cacheHierarchy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/>
    <cacheHierarchy uniqueName="[Measures].[Total Amount]" caption="Total Amount" measure="1" displayFolder="" measureGroup="calls" count="0" oneField="1">
      <fieldsUsage count="1">
        <fieldUsage x="3"/>
      </fieldsUsage>
    </cacheHierarchy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1.533948611112" backgroundQuery="1" createdVersion="8" refreshedVersion="8" minRefreshableVersion="3" recordCount="0" supportSubquery="1" supportAdvancedDrill="1" xr:uid="{92FAA51C-3077-4EC6-A354-B29A5CEFB047}">
  <cacheSource type="external" connectionId="1"/>
  <cacheFields count="6">
    <cacheField name="[Measures].[Call Count]" caption="Call Count" numFmtId="0" hierarchy="17" level="32767"/>
    <cacheField name="[Measures].[Total Amount]" caption="Total Amount" numFmtId="0" hierarchy="18" level="32767"/>
    <cacheField name="[Measures].[Total Duration]" caption="Total Duration" numFmtId="0" hierarchy="19" level="32767"/>
    <cacheField name="[Measures].[Avg.Rating]" caption="Avg.Rating" numFmtId="0" hierarchy="20" level="32767"/>
    <cacheField name="[Measures].[5*Calls]" caption="5*Calls" numFmtId="0" hierarchy="21" level="32767"/>
    <cacheField name="[calls].[Representative].[Representative]" caption="Representative" numFmtId="0" hierarchy="3" level="1">
      <sharedItems containsSemiMixedTypes="0" containsNonDate="0" containsString="0"/>
    </cacheField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5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0"/>
      </fieldsUsage>
    </cacheHierarchy>
    <cacheHierarchy uniqueName="[Measures].[Total Amount]" caption="Total Amount" measure="1" displayFolder="" measureGroup="calls" count="0" oneField="1">
      <fieldsUsage count="1">
        <fieldUsage x="1"/>
      </fieldsUsage>
    </cacheHierarchy>
    <cacheHierarchy uniqueName="[Measures].[Total Duration]" caption="Total Duration" measure="1" displayFolder="" measureGroup="calls" count="0" oneField="1">
      <fieldsUsage count="1">
        <fieldUsage x="2"/>
      </fieldsUsage>
    </cacheHierarchy>
    <cacheHierarchy uniqueName="[Measures].[Avg.Rating]" caption="Avg.Rating" measure="1" displayFolder="" measureGroup="calls" count="0" oneField="1">
      <fieldsUsage count="1">
        <fieldUsage x="3"/>
      </fieldsUsage>
    </cacheHierarchy>
    <cacheHierarchy uniqueName="[Measures].[5*Calls]" caption="5*Calls" measure="1" displayFolder="" measureGroup="calls" count="0" oneField="1">
      <fieldsUsage count="1">
        <fieldUsage x="4"/>
      </fieldsUsage>
    </cacheHierarchy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1.533949999997" backgroundQuery="1" createdVersion="8" refreshedVersion="8" minRefreshableVersion="3" recordCount="0" supportSubquery="1" supportAdvancedDrill="1" xr:uid="{CC40E50E-FDEA-4683-BF76-0077FB2AC358}">
  <cacheSource type="external" connectionId="1"/>
  <cacheFields count="3">
    <cacheField name="[Measures].[Call Count]" caption="Call Count" numFmtId="0" hierarchy="17" level="32767"/>
    <cacheField name="[calls].[Rating rounded].[Rating rounded]" caption="Rating rounded" numFmtId="0" hierarchy="10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calls].[Rating rounded].&amp;[0]"/>
            <x15:cachedUniqueName index="1" name="[calls].[Rating rounded].&amp;[1]"/>
            <x15:cachedUniqueName index="2" name="[calls].[Rating rounded].&amp;[2]"/>
            <x15:cachedUniqueName index="3" name="[calls].[Rating rounded].&amp;[3]"/>
            <x15:cachedUniqueName index="4" name="[calls].[Rating rounded].&amp;[4]"/>
            <x15:cachedUniqueName index="5" name="[calls].[Rating rounded].&amp;[5]"/>
          </x15:cachedUniqueNames>
        </ext>
      </extLst>
    </cacheField>
    <cacheField name="[calls].[Representative].[Representative]" caption="Representative" numFmtId="0" hierarchy="3" level="1">
      <sharedItems containsSemiMixedTypes="0" containsNonDate="0" containsString="0"/>
    </cacheField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2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2" memberValueDatatype="20" unbalanced="0">
      <fieldsUsage count="2">
        <fieldUsage x="-1"/>
        <fieldUsage x="1"/>
      </fieldsUsage>
    </cacheHierarchy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2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0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1.533952893522" backgroundQuery="1" createdVersion="8" refreshedVersion="8" minRefreshableVersion="3" recordCount="0" supportSubquery="1" supportAdvancedDrill="1" xr:uid="{F4060084-525B-420B-A711-BE24F2017025}">
  <cacheSource type="external" connectionId="1"/>
  <cacheFields count="1">
    <cacheField name="[calls].[Representative].[Representative]" caption="Representative" numFmtId="0" hierarchy="3" level="1">
      <sharedItems count="1">
        <s v="R05"/>
      </sharedItems>
    </cacheField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/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1.533954976854" backgroundQuery="1" createdVersion="8" refreshedVersion="8" minRefreshableVersion="3" recordCount="0" supportSubquery="1" supportAdvancedDrill="1" xr:uid="{2460133E-62D8-4269-AC43-F397FD445D08}">
  <cacheSource type="external" connectionId="1"/>
  <cacheFields count="5">
    <cacheField name="[calls].[Representative].[Representative]" caption="Representative" numFmtId="0" hierarchy="3" level="1">
      <sharedItems containsSemiMixedTypes="0" containsNonDate="0" containsString="0"/>
    </cacheField>
    <cacheField name="[calls].[Date of Call].[Date of Call]" caption="Date of Call" numFmtId="0" hierarchy="4" level="1">
      <sharedItems containsSemiMixedTypes="0" containsNonDate="0" containsDate="1" containsString="0" minDate="2023-01-01T00:00:00" maxDate="2024-01-01T00:00:00" count="149">
        <d v="2023-01-01T00:00:00"/>
        <d v="2023-01-03T00:00:00"/>
        <d v="2023-01-05T00:00:00"/>
        <d v="2023-01-06T00:00:00"/>
        <d v="2023-01-09T00:00:00"/>
        <d v="2023-01-10T00:00:00"/>
        <d v="2023-01-12T00:00:00"/>
        <d v="2023-01-15T00:00:00"/>
        <d v="2023-01-17T00:00:00"/>
        <d v="2023-01-18T00:00:00"/>
        <d v="2023-01-19T00:00:00"/>
        <d v="2023-01-22T00:00:00"/>
        <d v="2023-01-23T00:00:00"/>
        <d v="2023-01-25T00:00:00"/>
        <d v="2023-01-26T00:00:00"/>
        <d v="2023-01-31T00:00:00"/>
        <d v="2023-02-01T00:00:00"/>
        <d v="2023-02-02T00:00:00"/>
        <d v="2023-02-04T00:00:00"/>
        <d v="2023-02-08T00:00:00"/>
        <d v="2023-02-09T00:00:00"/>
        <d v="2023-02-10T00:00:00"/>
        <d v="2023-02-16T00:00:00"/>
        <d v="2023-02-17T00:00:00"/>
        <d v="2023-02-18T00:00:00"/>
        <d v="2023-02-19T00:00:00"/>
        <d v="2023-02-21T00:00:00"/>
        <d v="2023-02-24T00:00:00"/>
        <d v="2023-02-25T00:00:00"/>
        <d v="2023-02-26T00:00:00"/>
        <d v="2023-02-27T00:00:00"/>
        <d v="2023-03-03T00:00:00"/>
        <d v="2023-03-05T00:00:00"/>
        <d v="2023-03-07T00:00:00"/>
        <d v="2023-03-09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5T00:00:00"/>
        <d v="2023-03-26T00:00:00"/>
        <d v="2023-03-29T00:00:00"/>
        <d v="2023-03-31T00:00:00"/>
        <d v="2023-04-02T00:00:00"/>
        <d v="2023-04-06T00:00:00"/>
        <d v="2023-04-07T00:00:00"/>
        <d v="2023-04-08T00:00:00"/>
        <d v="2023-04-09T00:00:00"/>
        <d v="2023-04-11T00:00:00"/>
        <d v="2023-04-12T00:00:00"/>
        <d v="2023-04-15T00:00:00"/>
        <d v="2023-04-17T00:00:00"/>
        <d v="2023-04-18T00:00:00"/>
        <d v="2023-04-21T00:00:00"/>
        <d v="2023-04-22T00:00:00"/>
        <d v="2023-04-26T00:00:00"/>
        <d v="2023-04-27T00:00:00"/>
        <d v="2023-05-01T00:00:00"/>
        <d v="2023-05-08T00:00:00"/>
        <d v="2023-05-24T00:00:00"/>
        <d v="2023-05-26T00:00:00"/>
        <d v="2023-05-28T00:00:00"/>
        <d v="2023-05-29T00:00:00"/>
        <d v="2023-05-30T00:00:00"/>
        <d v="2023-06-09T00:00:00"/>
        <d v="2023-06-11T00:00:00"/>
        <d v="2023-06-13T00:00:00"/>
        <d v="2023-06-15T00:00:00"/>
        <d v="2023-06-21T00:00:00"/>
        <d v="2023-06-23T00:00:00"/>
        <d v="2023-06-24T00:00:00"/>
        <d v="2023-06-26T00:00:00"/>
        <d v="2023-06-28T00:00:00"/>
        <d v="2023-07-01T00:00:00"/>
        <d v="2023-07-05T00:00:00"/>
        <d v="2023-07-06T00:00:00"/>
        <d v="2023-07-08T00:00:00"/>
        <d v="2023-07-14T00:00:00"/>
        <d v="2023-07-19T00:00:00"/>
        <d v="2023-07-22T00:00:00"/>
        <d v="2023-07-27T00:00:00"/>
        <d v="2023-07-28T00:00:00"/>
        <d v="2023-07-31T00:00:00"/>
        <d v="2023-08-02T00:00:00"/>
        <d v="2023-08-10T00:00:00"/>
        <d v="2023-08-16T00:00:00"/>
        <d v="2023-08-18T00:00:00"/>
        <d v="2023-08-19T00:00:00"/>
        <d v="2023-08-27T00:00:00"/>
        <d v="2023-08-30T00:00:00"/>
        <d v="2023-09-01T00:00:00"/>
        <d v="2023-09-04T00:00:00"/>
        <d v="2023-09-05T00:00:00"/>
        <d v="2023-09-06T00:00:00"/>
        <d v="2023-09-08T00:00:00"/>
        <d v="2023-09-10T00:00:00"/>
        <d v="2023-09-15T00:00:00"/>
        <d v="2023-09-17T00:00:00"/>
        <d v="2023-09-20T00:00:00"/>
        <d v="2023-09-21T00:00:00"/>
        <d v="2023-09-22T00:00:00"/>
        <d v="2023-09-23T00:00:00"/>
        <d v="2023-09-24T00:00:00"/>
        <d v="2023-09-26T00:00:00"/>
        <d v="2023-09-29T00:00:00"/>
        <d v="2023-09-30T00:00:00"/>
        <d v="2023-10-01T00:00:00"/>
        <d v="2023-10-03T00:00:00"/>
        <d v="2023-10-04T00:00:00"/>
        <d v="2023-10-05T00:00:00"/>
        <d v="2023-10-06T00:00:00"/>
        <d v="2023-10-10T00:00:00"/>
        <d v="2023-10-12T00:00:00"/>
        <d v="2023-10-14T00:00:00"/>
        <d v="2023-10-17T00:00:00"/>
        <d v="2023-10-21T00:00:00"/>
        <d v="2023-10-23T00:00:00"/>
        <d v="2023-10-24T00:00:00"/>
        <d v="2023-10-26T00:00:00"/>
        <d v="2023-10-27T00:00:00"/>
        <d v="2023-10-29T00:00:00"/>
        <d v="2023-10-30T00:00:00"/>
        <d v="2023-11-04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7T00:00:00"/>
        <d v="2023-11-18T00:00:00"/>
        <d v="2023-11-24T00:00:00"/>
        <d v="2023-11-28T00:00:00"/>
        <d v="2023-12-01T00:00:00"/>
        <d v="2023-12-02T00:00:00"/>
        <d v="2023-12-03T00:00:00"/>
        <d v="2023-12-04T00:00:00"/>
        <d v="2023-12-16T00:00:00"/>
        <d v="2023-12-25T00:00:00"/>
        <d v="2023-12-27T00:00:00"/>
        <d v="2023-12-28T00:00:00"/>
        <d v="2023-12-30T00:00:00"/>
        <d v="2023-12-31T00:00:00"/>
      </sharedItems>
    </cacheField>
    <cacheField name="[calls].[Date of Call (Month)].[Date of Call (Month)]" caption="Date of Call (Month)" numFmtId="0" hierarchy="1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all Count]" caption="Call Count" numFmtId="0" hierarchy="17" level="32767"/>
    <cacheField name="Unsupported0" numFmtId="0" hierarchy="3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1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2" memberValueDatatype="7" unbalanced="0">
      <fieldsUsage count="2">
        <fieldUsage x="-1"/>
        <fieldUsage x="1"/>
      </fieldsUsage>
    </cacheHierarchy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0" memberValueDatatype="130" unbalanced="0"/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2" memberValueDatatype="130" unbalanced="0">
      <fieldsUsage count="2">
        <fieldUsage x="-1"/>
        <fieldUsage x="2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3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Unsupported0" caption="Call numb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wetha jeyaraman" refreshedDate="46151.533956250001" backgroundQuery="1" createdVersion="8" refreshedVersion="8" minRefreshableVersion="3" recordCount="0" supportSubquery="1" supportAdvancedDrill="1" xr:uid="{0C70294D-DEB6-473F-BB43-FC98E0952294}">
  <cacheSource type="external" connectionId="1"/>
  <cacheFields count="3">
    <cacheField name="[calls].[Representative].[Representative]" caption="Representative" numFmtId="0" hierarchy="3" level="1">
      <sharedItems containsSemiMixedTypes="0" containsNonDate="0" containsString="0"/>
    </cacheField>
    <cacheField name="[calls].[Day of week].[Day of week]" caption="Day of week" numFmtId="0" hierarchy="8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all Count]" caption="Call Count" numFmtId="0" hierarchy="17" level="32767"/>
  </cacheFields>
  <cacheHierarchies count="30">
    <cacheHierarchy uniqueName="[calls].[Call number]" caption="Call number" attribute="1" defaultMemberUniqueName="[calls].[Call number].[All]" allUniqueName="[calls].[Call number].[All]" dimensionUniqueName="[calls]" displayFolder="" count="0" memberValueDatatype="130" unbalanced="0"/>
    <cacheHierarchy uniqueName="[calls].[Customer ID]" caption="Customer ID" attribute="1" defaultMemberUniqueName="[calls].[Customer ID].[All]" allUniqueName="[calls].[Customer ID].[All]" dimensionUniqueName="[calls]" displayFolder="" count="0" memberValueDatatype="130" unbalanced="0"/>
    <cacheHierarchy uniqueName="[calls].[Duration]" caption="Duration" attribute="1" defaultMemberUniqueName="[calls].[Duration].[All]" allUniqueName="[calls].[Duration].[All]" dimensionUniqueName="[calls]" displayFolder="" count="0" memberValueDatatype="20" unbalanced="0"/>
    <cacheHierarchy uniqueName="[calls].[Representative]" caption="Representative" attribute="1" defaultMemberUniqueName="[calls].[Representative].[All]" allUniqueName="[calls].[Representative].[All]" dimensionUniqueName="[calls]" displayFolder="" count="2" memberValueDatatype="130" unbalanced="0">
      <fieldsUsage count="2">
        <fieldUsage x="-1"/>
        <fieldUsage x="0"/>
      </fieldsUsage>
    </cacheHierarchy>
    <cacheHierarchy uniqueName="[calls].[Date of Call]" caption="Date of Call" attribute="1" time="1" defaultMemberUniqueName="[calls].[Date of Call].[All]" allUniqueName="[calls].[Date of Call].[All]" dimensionUniqueName="[calls]" displayFolder="" count="0" memberValueDatatype="7" unbalanced="0"/>
    <cacheHierarchy uniqueName="[calls].[Purchase Amount]" caption="Purchase Amount" attribute="1" defaultMemberUniqueName="[calls].[Purchase Amount].[All]" allUniqueName="[calls].[Purchase Amount].[All]" dimensionUniqueName="[calls]" displayFolder="" count="0" memberValueDatatype="20" unbalanced="0"/>
    <cacheHierarchy uniqueName="[calls].[Satisfaction Rating]" caption="Satisfaction Rating" attribute="1" defaultMemberUniqueName="[calls].[Satisfaction Rating].[All]" allUniqueName="[calls].[Satisfaction Rating].[All]" dimensionUniqueName="[calls]" displayFolder="" count="0" memberValueDatatype="5" unbalanced="0"/>
    <cacheHierarchy uniqueName="[calls].[FY]" caption="FY" attribute="1" defaultMemberUniqueName="[calls].[FY].[All]" allUniqueName="[calls].[FY].[All]" dimensionUniqueName="[calls]" displayFolder="" count="0" memberValueDatatype="20" unbalanced="0"/>
    <cacheHierarchy uniqueName="[calls].[Day of week]" caption="Day of week" attribute="1" defaultMemberUniqueName="[calls].[Day of week].[All]" allUniqueName="[calls].[Day of week].[All]" dimensionUniqueName="[calls]" displayFolder="" count="2" memberValueDatatype="130" unbalanced="0">
      <fieldsUsage count="2">
        <fieldUsage x="-1"/>
        <fieldUsage x="1"/>
      </fieldsUsage>
    </cacheHierarchy>
    <cacheHierarchy uniqueName="[calls].[Duration Bucket]" caption="Duration Bucket" attribute="1" defaultMemberUniqueName="[calls].[Duration Bucket].[All]" allUniqueName="[calls].[Duration Bucket].[All]" dimensionUniqueName="[calls]" displayFolder="" count="0" memberValueDatatype="130" unbalanced="0"/>
    <cacheHierarchy uniqueName="[calls].[Rating rounded]" caption="Rating rounded" attribute="1" defaultMemberUniqueName="[calls].[Rating rounded].[All]" allUniqueName="[calls].[Rating rounded].[All]" dimensionUniqueName="[calls]" displayFolder="" count="0" memberValueDatatype="20" unbalanced="0"/>
    <cacheHierarchy uniqueName="[calls].[Date of Call (Month)]" caption="Date of Call (Month)" attribute="1" defaultMemberUniqueName="[calls].[Date of Call (Month)].[All]" allUniqueName="[calls].[Date of Call (Month)].[All]" dimensionUniqueName="[calls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Gedner]" caption="Gedner" attribute="1" defaultMemberUniqueName="[customers].[Gedner].[All]" allUniqueName="[customers].[Gedn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alls].[Date of Call (Month Index)]" caption="Date of Call (Month Index)" attribute="1" defaultMemberUniqueName="[calls].[Date of Call (Month Index)].[All]" allUniqueName="[calls].[Date of Call (Month Index)].[All]" dimensionUniqueName="[calls]" displayFolder="" count="0" memberValueDatatype="20" unbalanced="0" hidden="1"/>
    <cacheHierarchy uniqueName="[Measures].[Call Count]" caption="Call Count" measure="1" displayFolder="" measureGroup="calls" count="0" oneField="1">
      <fieldsUsage count="1">
        <fieldUsage x="2"/>
      </fieldsUsage>
    </cacheHierarchy>
    <cacheHierarchy uniqueName="[Measures].[Total Amount]" caption="Total Amount" measure="1" displayFolder="" measureGroup="calls" count="0"/>
    <cacheHierarchy uniqueName="[Measures].[Total Duration]" caption="Total Duration" measure="1" displayFolder="" measureGroup="calls" count="0"/>
    <cacheHierarchy uniqueName="[Measures].[Avg.Rating]" caption="Avg.Rating" measure="1" displayFolder="" measureGroup="calls" count="0"/>
    <cacheHierarchy uniqueName="[Measures].[5*Calls]" caption="5*Calls" measure="1" displayFolder="" measureGroup="calls" count="0"/>
    <cacheHierarchy uniqueName="[Measures].[__XL_Count calls]" caption="__XL_Count calls" measure="1" displayFolder="" measureGroup="call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urchase Amount]" caption="Sum of Purchase Amount" measure="1" displayFolder="" measureGroup="cal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presentative]" caption="Count of Representative" measure="1" displayFolder="" measureGroup="call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ate of Call (Month)]" caption="Count of Date of Call (Month)" measure="1" displayFolder="" measureGroup="call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dner]" caption="Count of Gedner" measure="1" displayFolder="" measureGroup="custom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alls" uniqueName="[calls]" caption="calls"/>
    <dimension name="customers" uniqueName="[customers]" caption="customers"/>
    <dimension measure="1" name="Measures" uniqueName="[Measures]" caption="Measures"/>
  </dimensions>
  <measureGroups count="2">
    <measureGroup name="calls" caption="calls"/>
    <measureGroup name="customers" caption="customer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66CCE-E389-44FE-A614-DF3E34FE5B38}" name="rep amounts" cacheId="3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16">
  <location ref="A79:G98" firstHeaderRow="1" firstDataRow="2" firstDataCol="1"/>
  <pivotFields count="4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2">
    <field x="1"/>
    <field x="2"/>
  </rowFields>
  <rowItems count="18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3" subtotal="count" baseField="0" baseItem="0"/>
  </dataFields>
  <pivotHierarchies count="30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7DB7E-8810-4CCD-ABBC-2505A107D1E3}" name="rep pivot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9:E10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30">
    <pivotHierarchy dragToData="1"/>
    <pivotHierarchy dragToData="1"/>
    <pivotHierarchy dragToData="1"/>
    <pivotHierarchy multipleItemSelectionAllowed="1" dragToData="1">
      <members count="1" level="1">
        <member name="[calls].[Representative].&amp;[R0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7.sample-data-excel-portfolio-project.xlsx!calls"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444ED-E0AD-4C48-86F8-F7B4554274B3}" name="Summary 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7.sample-data-excel-portfolio-project.xlsx!calls"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9C4A1-61B2-4E5F-95BF-C408643C3950}" name="rep satisfication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A69:B7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pivotHierarchies count="30">
    <pivotHierarchy dragToData="1"/>
    <pivotHierarchy dragToData="1"/>
    <pivotHierarchy dragToData="1"/>
    <pivotHierarchy multipleItemSelectionAllowed="1" dragToData="1">
      <members count="1" level="1">
        <member name="[calls].[Representative].&amp;[R0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E6FD4-B318-4C1B-A43B-CB746B36AA5C}" name="selected rep" cacheId="1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A52:A53" firstHeaderRow="1" firstDataRow="1" firstDataCol="1"/>
  <pivotFields count="1"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0"/>
  </rowFields>
  <rowItems count="1">
    <i>
      <x/>
    </i>
  </rowItems>
  <formats count="1">
    <format dxfId="0">
      <pivotArea dataOnly="0" labelOnly="1" fieldPosition="0">
        <references count="1">
          <reference field="0" count="0"/>
        </references>
      </pivotArea>
    </format>
  </formats>
  <pivotHierarchies count="30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F04CB-761D-48DC-91FF-B79BD9CB6F73}" name="monthly trend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2">
  <location ref="A23:C36" firstHeaderRow="0" firstDataRow="1" firstDataCol="1"/>
  <pivotFields count="5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name="Call Count2" fld="4" subtotal="count" baseField="0" baseItem="0">
      <extLst>
        <ext xmlns:x14="http://schemas.microsoft.com/office/spreadsheetml/2009/9/main" uri="{E15A36E0-9728-4e99-A89B-3F7291B0FE68}">
          <x14:dataField sourceField="3" uniqueName="[__Xl2].[Measures].[Call Count]"/>
        </ext>
      </extLst>
    </dataField>
  </dataFields>
  <pivotHierarchies count="31">
    <pivotHierarchy dragToData="1"/>
    <pivotHierarchy dragToData="1"/>
    <pivotHierarchy dragToData="1"/>
    <pivotHierarchy multipleItemSelectionAllowed="1" dragToData="1">
      <members count="1" level="1">
        <member name="[calls].[Representative].&amp;[R0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7.sample-data-excel-portfolio-project.xlsx!calls"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08B67-592F-4836-9AB4-698F0EF2DA21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9:D64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6C59D-D536-4E5E-B885-2CD7191C4EED}" name="reps 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42:C4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EC5FC-65AF-4882-A26F-6CC6A143CB2F}" name="week day trend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3">
  <location ref="E23:F31" firstHeaderRow="1" firstDataRow="1" firstDataCol="1"/>
  <pivotFields count="3">
    <pivotField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2" subtotal="count" baseField="0" baseItem="0"/>
  </dataFields>
  <pivotHierarchies count="30">
    <pivotHierarchy dragToData="1"/>
    <pivotHierarchy dragToData="1"/>
    <pivotHierarchy dragToData="1"/>
    <pivotHierarchy multipleItemSelectionAllowed="1" dragToData="1">
      <members count="1" level="1">
        <member name="[calls].[Representative].&amp;[R05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7.sample-data-excel-portfolio-project.xlsx!calls">
        <x15:activeTabTopLevelEntity name="[c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6DAE-E99B-4C34-A259-0D0B55CC1E95}">
  <dimension ref="A3:I98"/>
  <sheetViews>
    <sheetView tabSelected="1" topLeftCell="A6" workbookViewId="0">
      <selection activeCell="A24" sqref="A24:C24"/>
      <pivotSelection pane="bottomRight" showHeader="1" extendable="1" axis="axisRow" max="13" activeRow="23" previousRow="23" click="1" r:id="rId6">
        <pivotArea dataOnly="0" fieldPosition="0">
          <references count="1">
            <reference field="2" count="1">
              <x v="0"/>
            </reference>
          </references>
        </pivotArea>
      </pivotSelection>
    </sheetView>
  </sheetViews>
  <sheetFormatPr defaultRowHeight="14.4" x14ac:dyDescent="0.3"/>
  <cols>
    <col min="1" max="1" width="12.19921875" bestFit="1" customWidth="1"/>
    <col min="2" max="2" width="9.5" bestFit="1" customWidth="1"/>
    <col min="3" max="3" width="10.5" bestFit="1" customWidth="1"/>
    <col min="4" max="4" width="9.3984375" bestFit="1" customWidth="1"/>
    <col min="5" max="5" width="12.19921875" bestFit="1" customWidth="1"/>
    <col min="6" max="6" width="9.5" bestFit="1" customWidth="1"/>
    <col min="7" max="7" width="10.3984375" bestFit="1" customWidth="1"/>
    <col min="8" max="8" width="18.796875" customWidth="1"/>
    <col min="9" max="25" width="15.19921875" bestFit="1" customWidth="1"/>
    <col min="26" max="26" width="14" bestFit="1" customWidth="1"/>
    <col min="27" max="27" width="16.09765625" bestFit="1" customWidth="1"/>
    <col min="28" max="28" width="16.8984375" bestFit="1" customWidth="1"/>
    <col min="29" max="29" width="13.8984375" bestFit="1" customWidth="1"/>
    <col min="30" max="30" width="11.296875" bestFit="1" customWidth="1"/>
  </cols>
  <sheetData>
    <row r="3" spans="1:5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</row>
    <row r="4" spans="1:5" x14ac:dyDescent="0.3">
      <c r="A4" s="1">
        <v>1000</v>
      </c>
      <c r="B4" s="2">
        <v>96623</v>
      </c>
      <c r="C4" s="1">
        <v>89850</v>
      </c>
      <c r="D4" s="3">
        <v>3.8854000000000033</v>
      </c>
      <c r="E4" s="1">
        <v>307</v>
      </c>
    </row>
    <row r="9" spans="1:5" x14ac:dyDescent="0.3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">
      <c r="A10" s="1">
        <v>1000</v>
      </c>
      <c r="B10" s="2">
        <v>96623</v>
      </c>
      <c r="C10" s="1">
        <v>89850</v>
      </c>
      <c r="D10" s="3">
        <v>3.8854000000000033</v>
      </c>
      <c r="E10" s="1">
        <v>307</v>
      </c>
    </row>
    <row r="23" spans="1:6" x14ac:dyDescent="0.3">
      <c r="A23" s="4" t="s">
        <v>30</v>
      </c>
      <c r="B23" t="s">
        <v>25</v>
      </c>
      <c r="C23" t="s">
        <v>45</v>
      </c>
      <c r="E23" s="4" t="s">
        <v>30</v>
      </c>
      <c r="F23" t="s">
        <v>25</v>
      </c>
    </row>
    <row r="24" spans="1:6" x14ac:dyDescent="0.3">
      <c r="A24" s="5" t="s">
        <v>33</v>
      </c>
      <c r="B24" s="1">
        <v>79</v>
      </c>
      <c r="C24" s="1">
        <v>79</v>
      </c>
      <c r="E24" s="5" t="s">
        <v>49</v>
      </c>
      <c r="F24" s="1">
        <v>146</v>
      </c>
    </row>
    <row r="25" spans="1:6" x14ac:dyDescent="0.3">
      <c r="A25" s="5" t="s">
        <v>34</v>
      </c>
      <c r="B25" s="1">
        <v>66</v>
      </c>
      <c r="C25" s="1">
        <v>66</v>
      </c>
      <c r="E25" s="5" t="s">
        <v>47</v>
      </c>
      <c r="F25" s="1">
        <v>133</v>
      </c>
    </row>
    <row r="26" spans="1:6" x14ac:dyDescent="0.3">
      <c r="A26" s="5" t="s">
        <v>35</v>
      </c>
      <c r="B26" s="1">
        <v>155</v>
      </c>
      <c r="C26" s="1">
        <v>155</v>
      </c>
      <c r="E26" s="5" t="s">
        <v>51</v>
      </c>
      <c r="F26" s="1">
        <v>138</v>
      </c>
    </row>
    <row r="27" spans="1:6" x14ac:dyDescent="0.3">
      <c r="A27" s="5" t="s">
        <v>36</v>
      </c>
      <c r="B27" s="1">
        <v>136</v>
      </c>
      <c r="C27" s="1">
        <v>136</v>
      </c>
      <c r="E27" s="5" t="s">
        <v>52</v>
      </c>
      <c r="F27" s="1">
        <v>153</v>
      </c>
    </row>
    <row r="28" spans="1:6" x14ac:dyDescent="0.3">
      <c r="A28" s="5" t="s">
        <v>37</v>
      </c>
      <c r="B28" s="1">
        <v>83</v>
      </c>
      <c r="C28" s="1">
        <v>83</v>
      </c>
      <c r="E28" s="5" t="s">
        <v>50</v>
      </c>
      <c r="F28" s="1">
        <v>128</v>
      </c>
    </row>
    <row r="29" spans="1:6" x14ac:dyDescent="0.3">
      <c r="A29" s="5" t="s">
        <v>38</v>
      </c>
      <c r="B29" s="1">
        <v>67</v>
      </c>
      <c r="C29" s="1">
        <v>67</v>
      </c>
      <c r="E29" s="5" t="s">
        <v>46</v>
      </c>
      <c r="F29" s="1">
        <v>141</v>
      </c>
    </row>
    <row r="30" spans="1:6" x14ac:dyDescent="0.3">
      <c r="A30" s="5" t="s">
        <v>39</v>
      </c>
      <c r="B30" s="1">
        <v>64</v>
      </c>
      <c r="C30" s="1">
        <v>64</v>
      </c>
      <c r="E30" s="5" t="s">
        <v>48</v>
      </c>
      <c r="F30" s="1">
        <v>161</v>
      </c>
    </row>
    <row r="31" spans="1:6" x14ac:dyDescent="0.3">
      <c r="A31" s="5" t="s">
        <v>40</v>
      </c>
      <c r="B31" s="1">
        <v>50</v>
      </c>
      <c r="C31" s="1">
        <v>50</v>
      </c>
      <c r="E31" s="5" t="s">
        <v>31</v>
      </c>
      <c r="F31" s="1">
        <v>1000</v>
      </c>
    </row>
    <row r="32" spans="1:6" x14ac:dyDescent="0.3">
      <c r="A32" s="5" t="s">
        <v>41</v>
      </c>
      <c r="B32" s="1">
        <v>76</v>
      </c>
      <c r="C32" s="1">
        <v>76</v>
      </c>
    </row>
    <row r="33" spans="1:9" x14ac:dyDescent="0.3">
      <c r="A33" s="5" t="s">
        <v>42</v>
      </c>
      <c r="B33" s="1">
        <v>114</v>
      </c>
      <c r="C33" s="1">
        <v>114</v>
      </c>
    </row>
    <row r="34" spans="1:9" x14ac:dyDescent="0.3">
      <c r="A34" s="5" t="s">
        <v>43</v>
      </c>
      <c r="B34" s="1">
        <v>57</v>
      </c>
      <c r="C34" s="1">
        <v>57</v>
      </c>
    </row>
    <row r="35" spans="1:9" x14ac:dyDescent="0.3">
      <c r="A35" s="5" t="s">
        <v>44</v>
      </c>
      <c r="B35" s="1">
        <v>53</v>
      </c>
      <c r="C35" s="1">
        <v>53</v>
      </c>
    </row>
    <row r="36" spans="1:9" x14ac:dyDescent="0.3">
      <c r="A36" s="5" t="s">
        <v>31</v>
      </c>
      <c r="B36" s="1">
        <v>1000</v>
      </c>
      <c r="C36" s="1">
        <v>1000</v>
      </c>
    </row>
    <row r="39" spans="1:9" x14ac:dyDescent="0.3">
      <c r="E39" t="s">
        <v>53</v>
      </c>
      <c r="H39" t="s">
        <v>59</v>
      </c>
      <c r="I39" t="str">
        <f>A53</f>
        <v>R05</v>
      </c>
    </row>
    <row r="41" spans="1:9" x14ac:dyDescent="0.3">
      <c r="E41" t="s">
        <v>54</v>
      </c>
      <c r="F41" t="s">
        <v>55</v>
      </c>
      <c r="G41" t="s">
        <v>56</v>
      </c>
      <c r="H41" t="s">
        <v>58</v>
      </c>
      <c r="I41" t="s">
        <v>57</v>
      </c>
    </row>
    <row r="42" spans="1:9" x14ac:dyDescent="0.3">
      <c r="A42" s="4" t="s">
        <v>30</v>
      </c>
      <c r="B42" t="s">
        <v>25</v>
      </c>
      <c r="C42" t="s">
        <v>26</v>
      </c>
      <c r="E42" t="str" cm="1">
        <f t="array" ref="E42:G46">A43:C47</f>
        <v>R01</v>
      </c>
      <c r="F42">
        <v>189</v>
      </c>
      <c r="G42" s="6">
        <v>18415</v>
      </c>
      <c r="H42" t="e">
        <f>IF(E42=$I$39,F42,NA())</f>
        <v>#N/A</v>
      </c>
      <c r="I42" t="e">
        <f>IF(E42=$I$39,G42,NA())</f>
        <v>#N/A</v>
      </c>
    </row>
    <row r="43" spans="1:9" x14ac:dyDescent="0.3">
      <c r="A43" s="5" t="s">
        <v>6</v>
      </c>
      <c r="B43" s="1">
        <v>189</v>
      </c>
      <c r="C43" s="2">
        <v>18415</v>
      </c>
      <c r="E43" t="str">
        <v>R02</v>
      </c>
      <c r="F43">
        <v>218</v>
      </c>
      <c r="G43" s="6">
        <v>20581</v>
      </c>
      <c r="H43" t="e">
        <f t="shared" ref="H43:H46" si="0">IF(E43=$I$39,F43,NA())</f>
        <v>#N/A</v>
      </c>
      <c r="I43" t="e">
        <f t="shared" ref="I43:I46" si="1">IF(E43=$I$39,G43,NA())</f>
        <v>#N/A</v>
      </c>
    </row>
    <row r="44" spans="1:9" x14ac:dyDescent="0.3">
      <c r="A44" s="5" t="s">
        <v>4</v>
      </c>
      <c r="B44" s="1">
        <v>218</v>
      </c>
      <c r="C44" s="2">
        <v>20581</v>
      </c>
      <c r="E44" t="str">
        <v>R03</v>
      </c>
      <c r="F44">
        <v>207</v>
      </c>
      <c r="G44" s="6">
        <v>20872</v>
      </c>
      <c r="H44" t="e">
        <f t="shared" si="0"/>
        <v>#N/A</v>
      </c>
      <c r="I44" t="e">
        <f t="shared" si="1"/>
        <v>#N/A</v>
      </c>
    </row>
    <row r="45" spans="1:9" x14ac:dyDescent="0.3">
      <c r="A45" s="5" t="s">
        <v>1</v>
      </c>
      <c r="B45" s="1">
        <v>207</v>
      </c>
      <c r="C45" s="2">
        <v>20872</v>
      </c>
      <c r="E45" t="str">
        <v>R04</v>
      </c>
      <c r="F45">
        <v>186</v>
      </c>
      <c r="G45" s="6">
        <v>16651</v>
      </c>
      <c r="H45" t="e">
        <f t="shared" si="0"/>
        <v>#N/A</v>
      </c>
      <c r="I45" t="e">
        <f t="shared" si="1"/>
        <v>#N/A</v>
      </c>
    </row>
    <row r="46" spans="1:9" x14ac:dyDescent="0.3">
      <c r="A46" s="5" t="s">
        <v>8</v>
      </c>
      <c r="B46" s="1">
        <v>186</v>
      </c>
      <c r="C46" s="2">
        <v>16651</v>
      </c>
      <c r="E46" t="str">
        <v>R05</v>
      </c>
      <c r="F46">
        <v>200</v>
      </c>
      <c r="G46" s="6">
        <v>20104</v>
      </c>
      <c r="H46">
        <f t="shared" si="0"/>
        <v>200</v>
      </c>
      <c r="I46">
        <f t="shared" si="1"/>
        <v>20104</v>
      </c>
    </row>
    <row r="47" spans="1:9" x14ac:dyDescent="0.3">
      <c r="A47" s="5" t="s">
        <v>5</v>
      </c>
      <c r="B47" s="1">
        <v>200</v>
      </c>
      <c r="C47" s="2">
        <v>20104</v>
      </c>
    </row>
    <row r="48" spans="1:9" x14ac:dyDescent="0.3">
      <c r="A48" s="5" t="s">
        <v>31</v>
      </c>
      <c r="B48" s="1">
        <v>1000</v>
      </c>
      <c r="C48" s="2">
        <v>96623</v>
      </c>
    </row>
    <row r="51" spans="1:8" x14ac:dyDescent="0.3">
      <c r="G51" t="s">
        <v>60</v>
      </c>
    </row>
    <row r="52" spans="1:8" x14ac:dyDescent="0.3">
      <c r="A52" s="4" t="s">
        <v>30</v>
      </c>
    </row>
    <row r="53" spans="1:8" x14ac:dyDescent="0.3">
      <c r="A53" s="7" t="s">
        <v>5</v>
      </c>
      <c r="G53" t="s">
        <v>62</v>
      </c>
      <c r="H53" s="9">
        <f>A10/A4</f>
        <v>1</v>
      </c>
    </row>
    <row r="54" spans="1:8" x14ac:dyDescent="0.3">
      <c r="G54" t="s">
        <v>64</v>
      </c>
      <c r="H54" s="10">
        <f>_xlfn.XLOOKUP(A53,E42:E46,F42:F46)</f>
        <v>200</v>
      </c>
    </row>
    <row r="55" spans="1:8" x14ac:dyDescent="0.3">
      <c r="G55" t="s">
        <v>56</v>
      </c>
      <c r="H55">
        <f>_xlfn.XLOOKUP(A53,E42:E46,G42:G46)</f>
        <v>20104</v>
      </c>
    </row>
    <row r="58" spans="1:8" x14ac:dyDescent="0.3">
      <c r="G58" t="s">
        <v>61</v>
      </c>
      <c r="H58">
        <f>_xlfn.RANK.AVG(H54,F42:F46)</f>
        <v>3</v>
      </c>
    </row>
    <row r="59" spans="1:8" x14ac:dyDescent="0.3">
      <c r="A59" s="4" t="s">
        <v>25</v>
      </c>
      <c r="B59" s="4" t="s">
        <v>32</v>
      </c>
      <c r="G59" t="s">
        <v>63</v>
      </c>
      <c r="H59">
        <f>_xlfn.RANK.AVG(H55,G42:G46)</f>
        <v>3</v>
      </c>
    </row>
    <row r="60" spans="1:8" x14ac:dyDescent="0.3">
      <c r="A60" s="4" t="s">
        <v>30</v>
      </c>
      <c r="B60" t="s">
        <v>21</v>
      </c>
      <c r="C60" t="s">
        <v>20</v>
      </c>
      <c r="D60" t="s">
        <v>31</v>
      </c>
    </row>
    <row r="61" spans="1:8" x14ac:dyDescent="0.3">
      <c r="A61" s="5" t="s">
        <v>24</v>
      </c>
      <c r="B61" s="1">
        <v>144</v>
      </c>
      <c r="C61" s="1">
        <v>132</v>
      </c>
      <c r="D61" s="1">
        <v>276</v>
      </c>
    </row>
    <row r="62" spans="1:8" x14ac:dyDescent="0.3">
      <c r="A62" s="5" t="s">
        <v>23</v>
      </c>
      <c r="B62" s="1">
        <v>326</v>
      </c>
      <c r="C62" s="1">
        <v>63</v>
      </c>
      <c r="D62" s="1">
        <v>389</v>
      </c>
      <c r="G62" t="s">
        <v>65</v>
      </c>
    </row>
    <row r="63" spans="1:8" x14ac:dyDescent="0.3">
      <c r="A63" s="5" t="s">
        <v>22</v>
      </c>
      <c r="B63" s="1">
        <v>129</v>
      </c>
      <c r="C63" s="1">
        <v>206</v>
      </c>
      <c r="D63" s="1">
        <v>335</v>
      </c>
      <c r="H63" t="str">
        <f>"% of calls:"&amp;TEXT(H53,"0%")</f>
        <v>% of calls:100%</v>
      </c>
    </row>
    <row r="64" spans="1:8" x14ac:dyDescent="0.3">
      <c r="A64" s="5" t="s">
        <v>31</v>
      </c>
      <c r="B64" s="1">
        <v>599</v>
      </c>
      <c r="C64" s="1">
        <v>401</v>
      </c>
      <c r="D64" s="1">
        <v>1000</v>
      </c>
      <c r="H64" t="str">
        <f>IF(COUNTA(A53:A57)&gt;1,"","Call Rank:"&amp;H58)</f>
        <v>Call Rank:3</v>
      </c>
    </row>
    <row r="65" spans="1:8" x14ac:dyDescent="0.3">
      <c r="H65" t="str">
        <f>IF(COUNTA(A53:A57)&gt;1,"","Amount Rank:"&amp;H59)</f>
        <v>Amount Rank:3</v>
      </c>
    </row>
    <row r="68" spans="1:8" x14ac:dyDescent="0.3">
      <c r="G68" t="s">
        <v>66</v>
      </c>
      <c r="H68" t="e">
        <f>IF(COUNTA(A53:A57)&gt;1,"",_xlfn.XLOOKUP(A53,#REF!,#REF!))</f>
        <v>#REF!</v>
      </c>
    </row>
    <row r="69" spans="1:8" x14ac:dyDescent="0.3">
      <c r="A69" s="4" t="s">
        <v>30</v>
      </c>
      <c r="B69" t="s">
        <v>25</v>
      </c>
    </row>
    <row r="70" spans="1:8" x14ac:dyDescent="0.3">
      <c r="A70" s="5">
        <v>0</v>
      </c>
      <c r="B70" s="1">
        <v>1</v>
      </c>
    </row>
    <row r="71" spans="1:8" x14ac:dyDescent="0.3">
      <c r="A71" s="5">
        <v>1</v>
      </c>
      <c r="B71" s="1">
        <v>8</v>
      </c>
    </row>
    <row r="72" spans="1:8" x14ac:dyDescent="0.3">
      <c r="A72" s="5">
        <v>2</v>
      </c>
      <c r="B72" s="1">
        <v>59</v>
      </c>
    </row>
    <row r="73" spans="1:8" x14ac:dyDescent="0.3">
      <c r="A73" s="5">
        <v>3</v>
      </c>
      <c r="B73" s="1">
        <v>197</v>
      </c>
    </row>
    <row r="74" spans="1:8" x14ac:dyDescent="0.3">
      <c r="A74" s="5">
        <v>4</v>
      </c>
      <c r="B74" s="1">
        <v>428</v>
      </c>
    </row>
    <row r="75" spans="1:8" x14ac:dyDescent="0.3">
      <c r="A75" s="5">
        <v>5</v>
      </c>
      <c r="B75" s="1">
        <v>307</v>
      </c>
    </row>
    <row r="76" spans="1:8" x14ac:dyDescent="0.3">
      <c r="A76" s="5" t="s">
        <v>31</v>
      </c>
      <c r="B76" s="1">
        <v>1000</v>
      </c>
    </row>
    <row r="79" spans="1:8" x14ac:dyDescent="0.3">
      <c r="A79" s="4" t="s">
        <v>26</v>
      </c>
      <c r="B79" s="4" t="s">
        <v>32</v>
      </c>
    </row>
    <row r="80" spans="1:8" x14ac:dyDescent="0.3">
      <c r="A80" s="4" t="s">
        <v>30</v>
      </c>
      <c r="B80" t="s">
        <v>6</v>
      </c>
      <c r="C80" t="s">
        <v>4</v>
      </c>
      <c r="D80" t="s">
        <v>1</v>
      </c>
      <c r="E80" t="s">
        <v>8</v>
      </c>
      <c r="F80" t="s">
        <v>5</v>
      </c>
      <c r="G80" t="s">
        <v>31</v>
      </c>
    </row>
    <row r="81" spans="1:7" x14ac:dyDescent="0.3">
      <c r="A81" s="5" t="s">
        <v>24</v>
      </c>
    </row>
    <row r="82" spans="1:7" x14ac:dyDescent="0.3">
      <c r="A82" s="8" t="s">
        <v>15</v>
      </c>
      <c r="B82" s="2">
        <v>891</v>
      </c>
      <c r="C82" s="2">
        <v>1332</v>
      </c>
      <c r="D82" s="2">
        <v>1282</v>
      </c>
      <c r="E82" s="2">
        <v>739</v>
      </c>
      <c r="F82" s="2">
        <v>560</v>
      </c>
      <c r="G82" s="2">
        <v>4804</v>
      </c>
    </row>
    <row r="83" spans="1:7" x14ac:dyDescent="0.3">
      <c r="A83" s="8" t="s">
        <v>7</v>
      </c>
      <c r="B83" s="2">
        <v>1991</v>
      </c>
      <c r="C83" s="2">
        <v>1886</v>
      </c>
      <c r="D83" s="2">
        <v>1206</v>
      </c>
      <c r="E83" s="2">
        <v>884</v>
      </c>
      <c r="F83" s="2">
        <v>1722</v>
      </c>
      <c r="G83" s="2">
        <v>7689</v>
      </c>
    </row>
    <row r="84" spans="1:7" x14ac:dyDescent="0.3">
      <c r="A84" s="8" t="s">
        <v>3</v>
      </c>
      <c r="B84" s="2">
        <v>1163</v>
      </c>
      <c r="C84" s="2">
        <v>1180</v>
      </c>
      <c r="D84" s="2">
        <v>1616</v>
      </c>
      <c r="E84" s="2">
        <v>1043</v>
      </c>
      <c r="F84" s="2">
        <v>1747</v>
      </c>
      <c r="G84" s="2">
        <v>6749</v>
      </c>
    </row>
    <row r="85" spans="1:7" x14ac:dyDescent="0.3">
      <c r="A85" s="8" t="s">
        <v>11</v>
      </c>
      <c r="B85" s="2">
        <v>1438</v>
      </c>
      <c r="C85" s="2">
        <v>1616</v>
      </c>
      <c r="D85" s="2">
        <v>866</v>
      </c>
      <c r="E85" s="2">
        <v>829</v>
      </c>
      <c r="F85" s="2">
        <v>2070</v>
      </c>
      <c r="G85" s="2">
        <v>6819</v>
      </c>
    </row>
    <row r="86" spans="1:7" x14ac:dyDescent="0.3">
      <c r="A86" s="5" t="s">
        <v>23</v>
      </c>
    </row>
    <row r="87" spans="1:7" x14ac:dyDescent="0.3">
      <c r="A87" s="8" t="s">
        <v>19</v>
      </c>
      <c r="B87" s="2">
        <v>1233</v>
      </c>
      <c r="C87" s="2">
        <v>223</v>
      </c>
      <c r="D87" s="2">
        <v>1680</v>
      </c>
      <c r="E87" s="2">
        <v>990</v>
      </c>
      <c r="F87" s="2">
        <v>1508</v>
      </c>
      <c r="G87" s="2">
        <v>5634</v>
      </c>
    </row>
    <row r="88" spans="1:7" x14ac:dyDescent="0.3">
      <c r="A88" s="8" t="s">
        <v>10</v>
      </c>
      <c r="B88" s="2">
        <v>1598</v>
      </c>
      <c r="C88" s="2">
        <v>1907</v>
      </c>
      <c r="D88" s="2">
        <v>869</v>
      </c>
      <c r="E88" s="2">
        <v>1426</v>
      </c>
      <c r="F88" s="2">
        <v>1416</v>
      </c>
      <c r="G88" s="2">
        <v>7216</v>
      </c>
    </row>
    <row r="89" spans="1:7" x14ac:dyDescent="0.3">
      <c r="A89" s="8" t="s">
        <v>0</v>
      </c>
      <c r="B89" s="2">
        <v>900</v>
      </c>
      <c r="C89" s="2">
        <v>1016</v>
      </c>
      <c r="D89" s="2">
        <v>960</v>
      </c>
      <c r="E89" s="2">
        <v>940</v>
      </c>
      <c r="F89" s="2">
        <v>1193</v>
      </c>
      <c r="G89" s="2">
        <v>5009</v>
      </c>
    </row>
    <row r="90" spans="1:7" x14ac:dyDescent="0.3">
      <c r="A90" s="8" t="s">
        <v>13</v>
      </c>
      <c r="B90" s="2">
        <v>900</v>
      </c>
      <c r="C90" s="2">
        <v>1470</v>
      </c>
      <c r="D90" s="2">
        <v>1617</v>
      </c>
      <c r="E90" s="2">
        <v>1314</v>
      </c>
      <c r="F90" s="2">
        <v>941</v>
      </c>
      <c r="G90" s="2">
        <v>6242</v>
      </c>
    </row>
    <row r="91" spans="1:7" x14ac:dyDescent="0.3">
      <c r="A91" s="8" t="s">
        <v>9</v>
      </c>
      <c r="B91" s="2">
        <v>1255</v>
      </c>
      <c r="C91" s="2">
        <v>516</v>
      </c>
      <c r="D91" s="2">
        <v>1874</v>
      </c>
      <c r="E91" s="2">
        <v>1863</v>
      </c>
      <c r="F91" s="2">
        <v>1722</v>
      </c>
      <c r="G91" s="2">
        <v>7230</v>
      </c>
    </row>
    <row r="92" spans="1:7" x14ac:dyDescent="0.3">
      <c r="A92" s="8" t="s">
        <v>14</v>
      </c>
      <c r="B92" s="2">
        <v>1138</v>
      </c>
      <c r="C92" s="2">
        <v>1898</v>
      </c>
      <c r="D92" s="2">
        <v>1482</v>
      </c>
      <c r="E92" s="2">
        <v>846</v>
      </c>
      <c r="F92" s="2">
        <v>1154</v>
      </c>
      <c r="G92" s="2">
        <v>6518</v>
      </c>
    </row>
    <row r="93" spans="1:7" x14ac:dyDescent="0.3">
      <c r="A93" s="5" t="s">
        <v>22</v>
      </c>
    </row>
    <row r="94" spans="1:7" x14ac:dyDescent="0.3">
      <c r="A94" s="8" t="s">
        <v>12</v>
      </c>
      <c r="B94" s="2">
        <v>1655</v>
      </c>
      <c r="C94" s="2">
        <v>805</v>
      </c>
      <c r="D94" s="2">
        <v>2263</v>
      </c>
      <c r="E94" s="2">
        <v>987</v>
      </c>
      <c r="F94" s="2">
        <v>1075</v>
      </c>
      <c r="G94" s="2">
        <v>6785</v>
      </c>
    </row>
    <row r="95" spans="1:7" x14ac:dyDescent="0.3">
      <c r="A95" s="8" t="s">
        <v>18</v>
      </c>
      <c r="B95" s="2">
        <v>1104</v>
      </c>
      <c r="C95" s="2">
        <v>2280</v>
      </c>
      <c r="D95" s="2">
        <v>1445</v>
      </c>
      <c r="E95" s="2">
        <v>1722</v>
      </c>
      <c r="F95" s="2">
        <v>1196</v>
      </c>
      <c r="G95" s="2">
        <v>7747</v>
      </c>
    </row>
    <row r="96" spans="1:7" x14ac:dyDescent="0.3">
      <c r="A96" s="8" t="s">
        <v>2</v>
      </c>
      <c r="B96" s="2">
        <v>372</v>
      </c>
      <c r="C96" s="2">
        <v>1818</v>
      </c>
      <c r="D96" s="2">
        <v>1346</v>
      </c>
      <c r="E96" s="2">
        <v>1156</v>
      </c>
      <c r="F96" s="2">
        <v>1484</v>
      </c>
      <c r="G96" s="2">
        <v>6176</v>
      </c>
    </row>
    <row r="97" spans="1:7" x14ac:dyDescent="0.3">
      <c r="A97" s="8" t="s">
        <v>17</v>
      </c>
      <c r="B97" s="2">
        <v>1415</v>
      </c>
      <c r="C97" s="2">
        <v>1271</v>
      </c>
      <c r="D97" s="2">
        <v>1214</v>
      </c>
      <c r="E97" s="2">
        <v>1135</v>
      </c>
      <c r="F97" s="2">
        <v>1566</v>
      </c>
      <c r="G97" s="2">
        <v>6601</v>
      </c>
    </row>
    <row r="98" spans="1:7" x14ac:dyDescent="0.3">
      <c r="A98" s="8" t="s">
        <v>16</v>
      </c>
      <c r="B98" s="2">
        <v>1362</v>
      </c>
      <c r="C98" s="2">
        <v>1363</v>
      </c>
      <c r="D98" s="2">
        <v>1152</v>
      </c>
      <c r="E98" s="2">
        <v>777</v>
      </c>
      <c r="F98" s="2">
        <v>750</v>
      </c>
      <c r="G98" s="2">
        <v>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swethajeyaramanbhuvana@outlook.com</cp:lastModifiedBy>
  <dcterms:created xsi:type="dcterms:W3CDTF">2021-03-14T20:21:32Z</dcterms:created>
  <dcterms:modified xsi:type="dcterms:W3CDTF">2026-05-09T07:19:28Z</dcterms:modified>
</cp:coreProperties>
</file>