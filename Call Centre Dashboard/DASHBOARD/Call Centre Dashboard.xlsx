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hidePivotFieldList="1"/>
  <mc:AlternateContent xmlns:mc="http://schemas.openxmlformats.org/markup-compatibility/2006">
    <mc:Choice Requires="x15">
      <x15ac:absPath xmlns:x15ac="http://schemas.microsoft.com/office/spreadsheetml/2010/11/ac" url="C:\Users\sweth\OneDrive\Documents\JEEVA\PROJECT\MY PROJECT\Call Centre Dashboard\DASHBOARD\"/>
    </mc:Choice>
  </mc:AlternateContent>
  <xr:revisionPtr revIDLastSave="0" documentId="13_ncr:1_{9396283C-E041-41DC-A309-0C15BE145061}" xr6:coauthVersionLast="47" xr6:coauthVersionMax="47" xr10:uidLastSave="{00000000-0000-0000-0000-000000000000}"/>
  <bookViews>
    <workbookView xWindow="-108" yWindow="-108" windowWidth="23256" windowHeight="12456" activeTab="3" xr2:uid="{26D4546B-D2A1-4444-8EAF-A6228F96F0C1}"/>
  </bookViews>
  <sheets>
    <sheet name="Pivots" sheetId="6" r:id="rId1"/>
    <sheet name="Data" sheetId="2" r:id="rId2"/>
    <sheet name="Assets" sheetId="4" r:id="rId3"/>
    <sheet name="Customer Centre Report" sheetId="5" r:id="rId4"/>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57" r:id="rId9"/>
    <pivotCache cacheId="60" r:id="rId10"/>
    <pivotCache cacheId="63" r:id="rId11"/>
    <pivotCache cacheId="66" r:id="rId12"/>
    <pivotCache cacheId="69"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9" i="5" l="1" a="1"/>
  <c r="N19" i="5" s="1"/>
  <c r="F4" i="4"/>
  <c r="F5" i="4"/>
  <c r="F6" i="4"/>
  <c r="F7" i="4"/>
  <c r="F3" i="4"/>
  <c r="H68" i="6"/>
  <c r="L28" i="5" s="1"/>
  <c r="H55" i="6"/>
  <c r="H59" i="6" s="1"/>
  <c r="H65" i="6" s="1"/>
  <c r="L35" i="5" s="1"/>
  <c r="H54" i="6"/>
  <c r="H58" i="6" s="1"/>
  <c r="H64" i="6" s="1"/>
  <c r="L34" i="5" s="1"/>
  <c r="H53" i="6"/>
  <c r="H63" i="6" s="1"/>
  <c r="L33" i="5" s="1"/>
  <c r="O18" i="5" a="1"/>
  <c r="O18" i="5" s="1"/>
  <c r="I39" i="6"/>
  <c r="I42" i="6" s="1"/>
  <c r="E42" i="6" a="1"/>
  <c r="E42"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46" i="6" l="1"/>
  <c r="H45" i="6"/>
  <c r="I45" i="6"/>
  <c r="I44" i="6"/>
  <c r="H46" i="6"/>
  <c r="H44" i="6"/>
  <c r="I43" i="6"/>
  <c r="H43" i="6"/>
  <c r="H4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89F852-9FD5-4977-AE6F-A07B6D3DFC2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168219B-493B-41C0-8881-CC7E4BD84A9A}"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D9FE3EC2-9BD7-4A23-AC1A-57393DD70C6C}"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<sst xmlns="http://schemas.openxmlformats.org/spreadsheetml/2006/main" count="3173" uniqueCount="1087">
  <si>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</si>
  <si>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</si>
  <si>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</si>
  <si>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</si>
  <si>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</si>
  <si>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</si>
  <si>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</si>
  <si>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</si>
  <si>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</si>
  <si>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</si>
  <si>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</si>
  <si>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</si>
  <si>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</si>
  <si>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</si>
  <si>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</si>
  <si>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</si>
  <si>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</si>
  <si>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</si>
  <si>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</si>
  <si>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</si>
  <si>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</si>
  <si>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</si>
  <si>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</si>
  <si>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</si>
  <si>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</si>
  <si>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</si>
  <si>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</si>
  <si>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</si>
  <si>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</si>
  <si>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</si>
  <si>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</si>
  <si>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</si>
  <si>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</si>
  <si>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</si>
  <si>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</si>
  <si>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</si>
  <si>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</si>
  <si>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</si>
  <si>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</si>
  <si>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</si>
  <si>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</si>
  <si>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</si>
  <si>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</si>
  <si>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</si>
  <si>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</si>
  <si>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</si>
  <si>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</si>
  <si>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</si>
  <si>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</si>
  <si>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</si>
  <si>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</si>
  <si>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</si>
  <si>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</si>
  <si>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</si>
  <si>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</si>
  <si>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</si>
  <si>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</si>
  <si>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</si>
  <si>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</si>
  <si>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</si>
  <si>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</si>
  <si>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</si>
  <si>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</si>
  <si>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</si>
  <si>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</si>
  <si>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</si>
  <si>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</si>
  <si>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</si>
  <si>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</si>
  <si>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</si>
  <si>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</si>
  <si>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</si>
  <si>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</si>
  <si>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</si>
  <si>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</si>
  <si>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</si>
  <si>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</si>
  <si>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</si>
  <si>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</si>
  <si>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</si>
  <si>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</si>
  <si>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</si>
  <si>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</si>
  <si>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</si>
  <si>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</si>
  <si>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</si>
  <si>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</si>
  <si>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</si>
  <si>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</si>
  <si>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</si>
  <si>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</si>
  <si>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</si>
  <si>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</si>
  <si>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</si>
  <si>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</si>
  <si>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</si>
  <si>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</si>
  <si>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</si>
  <si>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</si>
  <si>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</si>
  <si>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</si>
  <si>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</si>
  <si>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</si>
  <si>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</si>
  <si>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</si>
  <si>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</si>
  <si>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</si>
  <si>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</si>
  <si>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</si>
  <si>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</si>
  <si>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</si>
  <si>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</si>
  <si>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</si>
  <si>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</si>
  <si>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</si>
  <si>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</si>
  <si>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</si>
  <si>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</si>
  <si>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</si>
  <si>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</si>
  <si>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</si>
  <si>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</si>
  <si>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</si>
  <si>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</si>
  <si>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</si>
  <si>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</si>
  <si>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</si>
  <si>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</si>
  <si>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</si>
  <si>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</si>
  <si>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</si>
  <si>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</si>
  <si>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</si>
  <si>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</si>
  <si>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</si>
  <si>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</si>
  <si>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</si>
  <si>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</si>
  <si>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</si>
  <si>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</si>
  <si>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</si>
  <si>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</si>
  <si>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</si>
  <si>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</si>
  <si>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</si>
  <si>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</si>
  <si>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</si>
  <si>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</si>
  <si>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</si>
  <si>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</si>
  <si>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</si>
  <si>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</si>
  <si>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</si>
  <si>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</si>
  <si>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</si>
  <si>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</si>
  <si>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</si>
  <si>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</si>
  <si>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</si>
  <si>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</si>
  <si>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</si>
  <si>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</si>
  <si>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</si>
  <si>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</si>
  <si>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</si>
  <si>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</si>
  <si>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</si>
  <si>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</si>
  <si>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</si>
  <si>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</si>
  <si>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</si>
  <si>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</si>
  <si>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</si>
  <si>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</si>
  <si>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</si>
  <si>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</si>
  <si>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</si>
  <si>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</si>
  <si>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</si>
  <si>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</si>
  <si>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</si>
  <si>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</si>
  <si>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</si>
  <si>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</si>
  <si>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</si>
  <si>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</si>
  <si>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</si>
  <si>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</si>
  <si>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</si>
  <si>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</si>
  <si>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</si>
  <si>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</si>
  <si>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</si>
  <si>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</si>
  <si>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</si>
  <si>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</si>
  <si>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</si>
  <si>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</si>
  <si>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</si>
  <si>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</si>
  <si>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</si>
  <si>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</si>
  <si>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</si>
  <si>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</si>
  <si>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</si>
  <si>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</si>
  <si>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</si>
  <si>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</si>
  <si>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</si>
  <si>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</si>
  <si>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</si>
  <si>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</si>
  <si>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</si>
  <si>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</si>
  <si>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</si>
  <si>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</si>
  <si>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</si>
  <si>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</si>
  <si>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</si>
  <si>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</si>
  <si>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</si>
  <si>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</si>
  <si>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</si>
  <si>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</si>
  <si>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</si>
  <si>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</si>
  <si>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</si>
  <si>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</si>
  <si>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</si>
  <si>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</si>
  <si>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</si>
  <si>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</si>
  <si>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</si>
  <si>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</si>
  <si>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</si>
  <si>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</si>
  <si>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</si>
  <si>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</si>
  <si>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</si>
  <si>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</si>
  <si>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</si>
  <si>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</si>
  <si>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</si>
  <si>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</si>
  <si>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</si>
  <si>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</si>
  <si>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</si>
  <si>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</si>
  <si>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</si>
  <si>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</si>
  <si>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</si>
  <si>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</si>
  <si>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</si>
  <si>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</si>
  <si>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</si>
  <si>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</si>
  <si>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</si>
  <si>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</si>
  <si>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</si>
  <si>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</si>
  <si>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</si>
  <si>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</si>
  <si>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</si>
  <si>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</si>
  <si>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</si>
  <si>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</si>
  <si>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</si>
  <si>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</si>
  <si>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</si>
  <si>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</si>
  <si>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</si>
  <si>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</si>
  <si>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</si>
  <si>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</si>
  <si>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</si>
  <si>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</si>
  <si>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</si>
  <si>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</si>
  <si>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</si>
  <si>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</si>
  <si>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</si>
  <si>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</si>
  <si>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</si>
  <si>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</si>
  <si>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</si>
  <si>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</si>
  <si>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</si>
  <si>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</si>
  <si>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</si>
  <si>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</si>
  <si>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</si>
  <si>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</si>
  <si>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</si>
  <si>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</si>
  <si>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</si>
  <si>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</si>
  <si>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</si>
  <si>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</si>
  <si>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</si>
  <si>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</si>
  <si>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</si>
  <si>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</si>
  <si>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</si>
  <si>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</si>
  <si>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</si>
  <si>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</si>
  <si>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</si>
  <si>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</si>
  <si>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</si>
  <si>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</si>
  <si>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</si>
  <si>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</si>
  <si>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</si>
  <si>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</si>
  <si>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</si>
  <si>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</si>
  <si>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</si>
  <si>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</si>
  <si>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</si>
  <si>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</si>
  <si>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</si>
  <si>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</si>
  <si>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</si>
  <si>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</si>
  <si>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</si>
  <si>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</si>
  <si>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</si>
  <si>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</si>
  <si>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</si>
  <si>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</si>
  <si>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</si>
  <si>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</si>
  <si>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</si>
  <si>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</si>
  <si>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</si>
  <si>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</si>
  <si>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</si>
  <si>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</si>
  <si>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</si>
  <si>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</si>
  <si>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</si>
  <si>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</si>
  <si>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</si>
  <si>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</si>
  <si>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</si>
  <si>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</si>
  <si>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</si>
  <si>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</si>
  <si>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</si>
  <si>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</si>
  <si>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</si>
  <si>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</si>
  <si>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</si>
  <si>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</si>
  <si>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</si>
  <si>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</si>
  <si>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</si>
  <si>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</si>
  <si>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</si>
  <si>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</si>
  <si>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</si>
  <si>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</si>
  <si>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</si>
  <si>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</si>
  <si>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</si>
  <si>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</si>
  <si>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</si>
  <si>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</si>
  <si>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</si>
  <si>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</si>
  <si>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</si>
  <si>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</si>
  <si>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</si>
  <si>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</si>
  <si>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</si>
  <si>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</si>
  <si>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</si>
  <si>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</si>
  <si>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</si>
  <si>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</si>
  <si>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</si>
  <si>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</si>
  <si>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</si>
  <si>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</si>
  <si>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</si>
  <si>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</si>
  <si>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</si>
  <si>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</si>
  <si>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</si>
  <si>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</si>
  <si>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</si>
  <si>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</si>
  <si>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</si>
  <si>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</si>
  <si>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</si>
  <si>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</si>
  <si>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</si>
  <si>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</si>
  <si>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</si>
  <si>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</si>
  <si>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</si>
  <si>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</si>
  <si>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</si>
  <si>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</si>
  <si>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</si>
  <si>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</si>
  <si>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</si>
  <si>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</si>
  <si>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</si>
  <si>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</si>
  <si>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</si>
  <si>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</si>
  <si>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</si>
  <si>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</si>
  <si>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</si>
  <si>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</si>
  <si>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</si>
  <si>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</si>
  <si>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</si>
  <si>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</si>
  <si>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</si>
  <si>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</si>
  <si>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</si>
  <si>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</si>
  <si>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</si>
  <si>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</si>
  <si>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</si>
  <si>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</si>
  <si>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</si>
  <si>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</si>
  <si>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</si>
  <si>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</si>
  <si>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</si>
  <si>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</si>
  <si>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</si>
  <si>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</si>
  <si>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</si>
  <si>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</si>
  <si>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</si>
  <si>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</si>
  <si>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</si>
  <si>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</si>
  <si>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</si>
  <si>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</si>
  <si>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</si>
  <si>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</si>
  <si>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</si>
  <si>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</si>
  <si>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</si>
  <si>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</si>
  <si>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</si>
  <si>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</si>
  <si>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</si>
  <si>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</si>
  <si>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</si>
  <si>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</si>
  <si>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</si>
  <si>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</si>
  <si>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</si>
  <si>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</si>
  <si>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</si>
  <si>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</si>
  <si>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</si>
  <si>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</si>
  <si>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</si>
  <si>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</si>
  <si>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</si>
  <si>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</si>
  <si>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</si>
  <si>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</si>
  <si>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</si>
  <si>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</si>
  <si>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</si>
  <si>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</si>
  <si>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</si>
  <si>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</si>
  <si>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</si>
  <si>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</si>
  <si>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</si>
  <si>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</si>
  <si>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</si>
  <si>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</si>
  <si>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</si>
  <si>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</si>
  <si>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</si>
  <si>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</si>
  <si>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</si>
  <si>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</si>
  <si>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</si>
  <si>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</si>
  <si>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</si>
  <si>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</si>
  <si>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</si>
  <si>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</si>
  <si>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</si>
  <si>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</si>
  <si>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</si>
  <si>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</si>
  <si>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</si>
  <si>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</si>
  <si>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</si>
  <si>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</si>
  <si>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</si>
  <si>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</si>
  <si>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</si>
  <si>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</si>
  <si>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</si>
  <si>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</si>
  <si>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</si>
  <si>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</si>
  <si>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</si>
  <si>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</si>
  <si>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</si>
  <si>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</si>
  <si>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</si>
  <si>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</si>
  <si>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</si>
  <si>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</si>
  <si>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</si>
  <si>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</si>
  <si>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</si>
  <si>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</si>
  <si>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</si>
  <si>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</si>
  <si>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</si>
  <si>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</si>
  <si>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</si>
  <si>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</si>
  <si>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</si>
  <si>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</si>
  <si>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</si>
  <si>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</si>
  <si>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</si>
  <si>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</si>
  <si>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</si>
  <si>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</si>
  <si>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</si>
  <si>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</si>
  <si>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</si>
  <si>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</si>
  <si>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</si>
  <si>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</si>
  <si>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</si>
  <si>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</si>
  <si>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</si>
  <si>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</si>
  <si>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</si>
  <si>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</si>
  <si>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</si>
  <si>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</si>
  <si>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</si>
  <si>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</si>
  <si>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</si>
  <si>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</si>
  <si>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</si>
  <si>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</si>
  <si>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</si>
  <si>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</si>
  <si>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</si>
  <si>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</si>
  <si>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</si>
  <si>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</si>
  <si>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</si>
  <si>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</si>
  <si>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</si>
  <si>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</si>
  <si>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</si>
  <si>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</si>
  <si>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</si>
  <si>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</si>
  <si>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</si>
  <si>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</si>
  <si>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</si>
  <si>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</si>
  <si>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</si>
  <si>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</si>
  <si>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</si>
  <si>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</si>
  <si>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</si>
  <si>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</si>
  <si>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</si>
  <si>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</si>
  <si>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</si>
  <si>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</si>
  <si>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</si>
  <si>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</si>
  <si>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</si>
  <si>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</si>
  <si>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</si>
  <si>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</si>
  <si>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</si>
  <si>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</si>
  <si>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</si>
  <si>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</si>
  <si>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</si>
  <si>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</si>
  <si>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</si>
  <si>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</si>
  <si>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</si>
  <si>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</si>
  <si>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</si>
  <si>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</si>
  <si>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</si>
  <si>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</si>
  <si>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</si>
  <si>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</si>
  <si>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</si>
  <si>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</si>
  <si>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</si>
  <si>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</si>
  <si>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</si>
  <si>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</si>
  <si>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</si>
  <si>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</si>
  <si>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</si>
  <si>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</si>
  <si>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</si>
  <si>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</si>
  <si>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</si>
  <si>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</si>
  <si>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</si>
  <si>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</si>
  <si>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</si>
  <si>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</si>
  <si>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</si>
  <si>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</si>
  <si>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</si>
  <si>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</si>
  <si>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</si>
  <si>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</si>
  <si>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</si>
  <si>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</si>
  <si>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</si>
  <si>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</si>
  <si>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</si>
  <si>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</si>
  <si>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</si>
  <si>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</si>
  <si>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</si>
  <si>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</si>
  <si>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</si>
  <si>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</si>
  <si>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</si>
  <si>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</si>
  <si>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</si>
  <si>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</si>
  <si>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</si>
  <si>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</si>
  <si>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</si>
  <si>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</si>
  <si>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</si>
  <si>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</si>
  <si>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</si>
  <si>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</si>
  <si>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</si>
  <si>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</si>
  <si>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</si>
  <si>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</si>
  <si>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</si>
  <si>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</si>
  <si>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</si>
  <si>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</si>
  <si>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</si>
  <si>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</si>
  <si>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</si>
  <si>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</si>
  <si>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</si>
  <si>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</si>
  <si>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</si>
  <si>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</si>
  <si>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</si>
  <si>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</si>
  <si>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</si>
  <si>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</si>
  <si>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</si>
  <si>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</si>
  <si>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</si>
  <si>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</si>
  <si>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</si>
  <si>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</si>
  <si>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</si>
  <si>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</si>
  <si>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</si>
  <si>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</si>
  <si>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</si>
  <si>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</si>
  <si>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</si>
  <si>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</si>
  <si>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</si>
  <si>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</si>
  <si>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</si>
  <si>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</si>
  <si>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</si>
  <si>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</si>
  <si>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</si>
  <si>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</si>
  <si>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</si>
  <si>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</si>
  <si>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</si>
  <si>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</si>
  <si>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</si>
  <si>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</si>
  <si>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</si>
  <si>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</si>
  <si>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</si>
  <si>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</si>
  <si>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</si>
  <si>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</si>
  <si>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</si>
  <si>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</si>
  <si>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</si>
  <si>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</si>
  <si>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</si>
  <si>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</si>
  <si>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</si>
  <si>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</si>
  <si>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</si>
  <si>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</si>
  <si>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</si>
  <si>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</si>
  <si>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</si>
  <si>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</si>
  <si>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</si>
  <si>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</si>
  <si>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</si>
  <si>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</si>
  <si>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</si>
  <si>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</si>
  <si>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</si>
  <si>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</si>
  <si>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</si>
  <si>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</si>
  <si>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</si>
  <si>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</si>
  <si>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</si>
  <si>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</si>
  <si>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</si>
  <si>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</si>
  <si>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</si>
  <si>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</si>
  <si>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</si>
  <si>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</si>
  <si>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</si>
  <si>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</si>
  <si>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</si>
  <si>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</si>
  <si>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</si>
  <si>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</si>
  <si>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</si>
  <si>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</si>
  <si>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</si>
  <si>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</si>
  <si>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</si>
  <si>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</si>
  <si>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</si>
  <si>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</si>
  <si>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</si>
  <si>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</si>
  <si>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</si>
  <si>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</si>
  <si>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</si>
  <si>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</si>
  <si>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</si>
  <si>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</si>
  <si>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</si>
  <si>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</si>
  <si>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</si>
  <si>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</si>
  <si>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</si>
  <si>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</si>
  <si>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</si>
  <si>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</si>
  <si>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</si>
  <si>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</si>
  <si>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</si>
  <si>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</si>
  <si>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</si>
  <si>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</si>
  <si>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</si>
  <si>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</si>
  <si>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</si>
  <si>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</si>
  <si>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</si>
  <si>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</si>
  <si>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</si>
  <si>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</si>
  <si>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</si>
  <si>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</si>
  <si>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</si>
  <si>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</si>
  <si>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</si>
  <si>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</si>
  <si>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</si>
  <si>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</si>
  <si>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</si>
  <si>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</si>
  <si>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</si>
  <si>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</si>
  <si>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</si>
  <si>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</si>
  <si>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</si>
  <si>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</si>
  <si>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</si>
  <si>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</si>
  <si>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</si>
  <si>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</si>
  <si>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</si>
  <si>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</si>
  <si>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</si>
  <si>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</si>
  <si>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</si>
  <si>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</si>
  <si>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</si>
  <si>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</si>
  <si>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</si>
  <si>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</si>
  <si>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</si>
  <si>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</si>
  <si>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</si>
  <si>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</si>
  <si>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</si>
  <si>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</si>
  <si>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</si>
  <si>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</si>
  <si>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</si>
  <si>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</si>
  <si>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</si>
  <si>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</si>
  <si>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</si>
  <si>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</si>
  <si>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</si>
  <si>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</si>
  <si>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</si>
  <si>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</si>
  <si>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</si>
  <si>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</si>
  <si>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</si>
  <si>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</si>
  <si>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</si>
  <si>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</si>
  <si>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</si>
  <si>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</si>
  <si>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</si>
  <si>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</si>
  <si>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</si>
  <si>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</si>
  <si>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</si>
  <si>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</si>
  <si>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</si>
  <si>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</si>
  <si>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</si>
  <si>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</si>
  <si>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</si>
  <si>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</si>
  <si>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</si>
  <si>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</si>
  <si>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</si>
  <si>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</si>
  <si>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</si>
  <si>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</si>
  <si>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</si>
  <si>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</si>
  <si>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</si>
  <si>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</si>
  <si>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</si>
  <si>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</si>
  <si>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</si>
  <si>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</si>
  <si>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</si>
  <si>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</si>
  <si>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</si>
  <si>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</si>
  <si>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</si>
  <si>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</si>
  <si>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</si>
  <si>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</si>
  <si>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</si>
  <si>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</si>
  <si>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</si>
  <si>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</si>
  <si>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</si>
  <si>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</si>
  <si>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</si>
  <si>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</si>
  <si>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</si>
  <si>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</si>
  <si>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</si>
  <si>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</si>
  <si>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</si>
  <si>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</si>
  <si>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</si>
  <si>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</si>
  <si>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</si>
  <si>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</si>
  <si>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</si>
  <si>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</si>
  <si>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</si>
  <si>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</si>
  <si>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</si>
  <si>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</si>
  <si>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</si>
  <si>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</si>
  <si>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</si>
  <si>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</si>
  <si>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</si>
  <si>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</si>
  <si>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</si>
  <si>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</si>
  <si>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</si>
  <si>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</si>
  <si>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</si>
  <si>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</si>
  <si>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</si>
  <si>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</si>
  <si>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</si>
  <si>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</si>
  <si>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</si>
  <si>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</si>
  <si>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</si>
  <si>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</si>
  <si>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</si>
  <si>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</si>
  <si>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</si>
  <si>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</si>
  <si>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</si>
  <si>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</si>
  <si>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</si>
  <si>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</si>
  <si>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</si>
  <si>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</si>
  <si>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</si>
  <si>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</si>
  <si>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</si>
  <si>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</si>
  <si>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</si>
  <si>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</si>
  <si>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</si>
  <si>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</si>
  <si>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</si>
  <si>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</si>
  <si>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</si>
  <si>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</si>
  <si>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</si>
  <si>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</si>
  <si>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</si>
  <si>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</si>
  <si>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</si>
  <si>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</si>
  <si>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</si>
  <si>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</si>
  <si>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</si>
  <si>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</si>
  <si>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</si>
  <si>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</si>
  <si>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</si>
  <si>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</si>
  <si>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</si>
  <si>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</si>
  <si>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</si>
  <si>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</si>
  <si>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</si>
  <si>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</si>
  <si>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</si>
  <si>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</si>
  <si>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</si>
  <si>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</si>
  <si>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</si>
  <si>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</si>
  <si>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</si>
  <si>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</si>
  <si>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</si>
  <si>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</si>
  <si>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</si>
  <si>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</si>
  <si>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</si>
  <si>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</si>
  <si>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</si>
  <si>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</si>
  <si>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</si>
  <si>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</si>
  <si>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</si>
  <si>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</si>
  <si>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</si>
  <si>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</si>
  <si>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</si>
  <si>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</si>
  <si>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</si>
  <si>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</si>
  <si>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</si>
  <si>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</si>
  <si>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</si>
  <si>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</si>
  <si>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</si>
  <si>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</si>
  <si>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</si>
  <si>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</si>
  <si>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</si>
  <si>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</si>
  <si>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</si>
  <si>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</si>
  <si>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</si>
  <si>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</si>
  <si>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</si>
  <si>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</si>
  <si>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</si>
  <si>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</si>
  <si>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</si>
  <si>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</si>
  <si>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</si>
  <si>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</si>
  <si>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</si>
  <si>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</si>
  <si>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</si>
  <si>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</si>
  <si>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</si>
  <si>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</si>
  <si>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</si>
  <si>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</si>
  <si>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</si>
  <si>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</si>
  <si>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</si>
  <si>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</si>
  <si>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</si>
  <si>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</si>
  <si>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</si>
  <si>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</si>
  <si>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</si>
  <si>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</si>
  <si>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</si>
  <si>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</si>
  <si>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</si>
  <si>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</si>
  <si>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</si>
  <si>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</si>
  <si>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</si>
  <si>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</si>
  <si>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</si>
  <si>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</si>
  <si>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</si>
  <si>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</si>
  <si>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</si>
  <si>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</si>
  <si>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</si>
  <si>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</si>
  <si>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</si>
  <si>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Avg.Rating</t>
  </si>
  <si>
    <t>5*Calls</t>
  </si>
  <si>
    <t>Row Labels</t>
  </si>
  <si>
    <t>Grand Total</t>
  </si>
  <si>
    <t>Column Labels</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</si>
  <si>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</si>
  <si>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</si>
  <si>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</si>
  <si>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</si>
  <si>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</si>
  <si>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</si>
  <si>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</si>
  <si>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</si>
  <si>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</si>
  <si>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</si>
  <si>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</si>
  <si>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</si>
  <si>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</si>
  <si>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</si>
  <si>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</si>
  <si>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</si>
  <si>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</si>
  <si>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</si>
  <si>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</si>
  <si>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</si>
  <si>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</si>
  <si>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</si>
  <si>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t>
  </si>
  <si>
    <t>Amount</t>
  </si>
  <si>
    <t>Sel.Amount</t>
  </si>
  <si>
    <t>Sel.Calls</t>
  </si>
  <si>
    <t>Selected rep</t>
  </si>
  <si>
    <t>Total</t>
  </si>
  <si>
    <t>Rep Summary</t>
  </si>
  <si>
    <t>Call Rank</t>
  </si>
  <si>
    <t>% of Calls</t>
  </si>
  <si>
    <t>Amount Rank</t>
  </si>
  <si>
    <t>Calls</t>
  </si>
  <si>
    <t>Labels:</t>
  </si>
  <si>
    <t>Image:</t>
  </si>
  <si>
    <t>CALL CENTRE REPORT</t>
  </si>
  <si>
    <t>Customer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</si>
</sst>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quot;$&quot;#,###.0,&quot;k&quot;"/>
    <numFmt numFmtId="168" formatCode="&quot;$&quot;#,##0"/>
  </numFmts>
  <fonts count="14" x14ac:knownFonts="1">
    <font>
      <sz val="11"/>
      <color theme="1"/>
      <name val="Aptos"/>
      <family val="2"/>
      <scheme val="minor"/>
    </font>
    <font>
      <b/>
      <sz val="11"/>
      <color theme="1"/>
      <name val="Aptos"/>
      <family val="2"/>
      <scheme val="minor"/>
    </font>
    <font>
      <sz val="8"/>
      <name val="Aptos"/>
      <family val="2"/>
      <scheme val="minor"/>
    </font>
    <font>
      <sz val="11"/>
      <color theme="1"/>
      <name val="Aptos"/>
      <family val="2"/>
      <scheme val="minor"/>
    </font>
    <font>
      <sz val="11"/>
      <color theme="1" tint="0.34998626667073579"/>
      <name val="Aptos"/>
      <family val="2"/>
      <scheme val="minor"/>
    </font>
    <font>
      <sz val="10"/>
      <color theme="1"/>
      <name val="Aptos"/>
      <family val="2"/>
      <scheme val="minor"/>
    </font>
    <font>
      <b/>
      <sz val="18"/>
      <color rgb="FF0070C0"/>
      <name val="Aptos ExtraBold"/>
      <scheme val="major"/>
    </font>
    <font>
      <b/>
      <sz val="22"/>
      <color rgb="FF0070C0"/>
      <name val="Aptos ExtraBold"/>
      <scheme val="major"/>
    </font>
    <font>
      <b/>
      <sz val="10"/>
      <color theme="1"/>
      <name val="Aptos"/>
      <family val="2"/>
      <scheme val="minor"/>
    </font>
    <font>
      <b/>
      <sz val="18"/>
      <color theme="1"/>
      <name val="Aptos"/>
      <family val="2"/>
      <scheme val="minor"/>
    </font>
    <font>
      <sz val="10"/>
      <color theme="0"/>
      <name val="Aptos"/>
      <family val="2"/>
      <scheme val="minor"/>
    </font>
    <font>
      <b/>
      <sz val="10"/>
      <color theme="0"/>
      <name val="Aptos"/>
      <family val="2"/>
      <scheme val="minor"/>
    </font>
    <font>
      <b/>
      <sz val="24"/>
      <color theme="1"/>
      <name val="Aptos ExtraBold"/>
    </font>
    <font>
      <sz val="18"/>
      <color theme="1"/>
      <name val="Aptos"/>
      <family val="2"/>
      <scheme val="minor"/>
    </font>
  </fonts>
  <fills count="7">
    <fill>
      <patternFill patternType="none"/>
    </fill>
    <fill>
      <patternFill patternType="gray125"/>
    </fill>
    <fill>
      <patternFill patternType="solid">
        <fgColor theme="7"/>
        <bgColor indexed="64"/>
      </patternFill>
    </fill>
    <fill>
      <patternFill patternType="solid">
        <fgColor rgb="FFF5F7FA"/>
        <bgColor indexed="64"/>
      </patternFill>
    </fill>
    <fill>
      <patternFill patternType="solid">
        <fgColor theme="6"/>
        <bgColor indexed="64"/>
      </patternFill>
    </fill>
    <fill>
      <patternFill patternType="solid">
        <fgColor theme="0" tint="-0.14999847407452621"/>
        <bgColor indexed="64"/>
      </patternFill>
    </fill>
    <fill>
      <patternFill patternType="solid">
        <fgColor theme="2" tint="-0.49998474074526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right/>
      <top style="thin">
        <color theme="0"/>
      </top>
      <bottom/>
      <diagonal/>
    </border>
    <border>
      <left/>
      <right/>
      <top/>
      <bottom style="thin">
        <color theme="0"/>
      </bottom>
      <diagonal/>
    </border>
    <border>
      <left style="thin">
        <color theme="0"/>
      </left>
      <right/>
      <top style="thin">
        <color theme="0"/>
      </top>
      <bottom/>
      <diagonal/>
    </border>
    <border>
      <left/>
      <right style="thin">
        <color theme="0"/>
      </right>
      <top/>
      <bottom/>
      <diagonal/>
    </border>
    <border>
      <left style="thin">
        <color theme="0"/>
      </left>
      <right style="thin">
        <color theme="0"/>
      </right>
      <top style="thin">
        <color theme="0"/>
      </top>
      <bottom style="thin">
        <color theme="0"/>
      </bottom>
      <diagonal/>
    </border>
  </borders>
  <cellStyleXfs count="2">
    <xf numFmtId="0" fontId="0" fillId="0" borderId="0"/>
    <xf numFmtId="9" fontId="3" fillId="0" borderId="0" applyFont="0" applyFill="0" applyBorder="0" applyAlignment="0" applyProtection="0"/>
  </cellStyleXfs>
  <cellXfs count="58">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3" borderId="0" xfId="0" applyFill="1"/>
    <xf numFmtId="167" fontId="0" fillId="0" borderId="0" xfId="0" applyNumberFormat="1"/>
    <xf numFmtId="0" fontId="0" fillId="4" borderId="0" xfId="0" applyFill="1" applyAlignment="1">
      <alignment horizontal="left"/>
    </xf>
    <xf numFmtId="0" fontId="0" fillId="0" borderId="0" xfId="0" applyAlignment="1">
      <alignment horizontal="left" indent="1"/>
    </xf>
    <xf numFmtId="0" fontId="1" fillId="3" borderId="0" xfId="0" applyFont="1" applyFill="1"/>
    <xf numFmtId="9" fontId="0" fillId="0" borderId="0" xfId="1" applyFont="1"/>
    <xf numFmtId="0" fontId="0" fillId="0" borderId="0" xfId="1" applyNumberFormat="1" applyFont="1"/>
    <xf numFmtId="0" fontId="8" fillId="3" borderId="10" xfId="0" applyFont="1" applyFill="1" applyBorder="1"/>
    <xf numFmtId="0" fontId="5" fillId="3" borderId="0" xfId="0" applyFont="1" applyFill="1"/>
    <xf numFmtId="0" fontId="5" fillId="3" borderId="12" xfId="0" applyFont="1" applyFill="1" applyBorder="1"/>
    <xf numFmtId="0" fontId="5" fillId="3" borderId="10" xfId="0" applyFont="1" applyFill="1" applyBorder="1"/>
    <xf numFmtId="168" fontId="5" fillId="3" borderId="0" xfId="0" applyNumberFormat="1" applyFont="1" applyFill="1"/>
    <xf numFmtId="168" fontId="5" fillId="3" borderId="12" xfId="0" applyNumberFormat="1" applyFont="1" applyFill="1" applyBorder="1"/>
    <xf numFmtId="0" fontId="5" fillId="3" borderId="6" xfId="0" applyFont="1" applyFill="1" applyBorder="1"/>
    <xf numFmtId="168" fontId="5" fillId="3" borderId="11" xfId="0" applyNumberFormat="1" applyFont="1" applyFill="1" applyBorder="1"/>
    <xf numFmtId="168" fontId="5" fillId="3" borderId="4" xfId="0" applyNumberFormat="1" applyFont="1" applyFill="1" applyBorder="1"/>
    <xf numFmtId="0" fontId="0" fillId="5" borderId="0" xfId="0" applyFill="1"/>
    <xf numFmtId="0" fontId="4" fillId="5" borderId="0" xfId="0" applyFont="1" applyFill="1"/>
    <xf numFmtId="0" fontId="0" fillId="3" borderId="13" xfId="0" applyFill="1" applyBorder="1"/>
    <xf numFmtId="0" fontId="0" fillId="3" borderId="14" xfId="0" applyFill="1" applyBorder="1"/>
    <xf numFmtId="0" fontId="0" fillId="3" borderId="15" xfId="0" applyFill="1" applyBorder="1"/>
    <xf numFmtId="0" fontId="0" fillId="3" borderId="16" xfId="0" applyFill="1" applyBorder="1"/>
    <xf numFmtId="0" fontId="0" fillId="5" borderId="12" xfId="0" applyFill="1" applyBorder="1"/>
    <xf numFmtId="0" fontId="10" fillId="6" borderId="17" xfId="0" applyFont="1" applyFill="1" applyBorder="1" applyAlignment="1">
      <alignment horizontal="center"/>
    </xf>
    <xf numFmtId="0" fontId="11" fillId="6" borderId="17" xfId="0" applyFont="1" applyFill="1" applyBorder="1" applyAlignment="1">
      <alignment horizontal="center"/>
    </xf>
    <xf numFmtId="0" fontId="7" fillId="5" borderId="0" xfId="0" applyFont="1" applyFill="1" applyAlignment="1">
      <alignment horizontal="left"/>
    </xf>
    <xf numFmtId="0" fontId="6" fillId="5" borderId="0" xfId="0" applyFont="1" applyFill="1" applyAlignment="1">
      <alignment horizontal="left"/>
    </xf>
    <xf numFmtId="0" fontId="9" fillId="3" borderId="0" xfId="0" applyFont="1" applyFill="1" applyAlignment="1">
      <alignment horizontal="center" vertical="center"/>
    </xf>
    <xf numFmtId="0" fontId="9" fillId="3" borderId="12" xfId="0" applyFont="1" applyFill="1" applyBorder="1" applyAlignment="1">
      <alignment horizontal="center" vertical="center"/>
    </xf>
    <xf numFmtId="0" fontId="5" fillId="3" borderId="0" xfId="0" applyFont="1" applyFill="1" applyAlignment="1">
      <alignment horizontal="center"/>
    </xf>
    <xf numFmtId="0" fontId="5" fillId="3" borderId="12" xfId="0" applyFont="1" applyFill="1" applyBorder="1" applyAlignment="1">
      <alignment horizontal="center"/>
    </xf>
    <xf numFmtId="0" fontId="12" fillId="2" borderId="0" xfId="0" applyFont="1" applyFill="1" applyAlignment="1">
      <alignment horizontal="center" vertical="center"/>
    </xf>
    <xf numFmtId="0" fontId="9" fillId="2" borderId="0" xfId="0" applyFont="1" applyFill="1" applyAlignment="1">
      <alignment horizontal="center" vertical="center"/>
    </xf>
    <xf numFmtId="0" fontId="13" fillId="2" borderId="0" xfId="0" applyFont="1" applyFill="1" applyAlignment="1">
      <alignment horizontal="center" vertical="center"/>
    </xf>
  </cellXfs>
  <cellStyles count="2">
    <cellStyle name="Normal" xfId="0" builtinId="0"/>
    <cellStyle name="Percent" xfId="1" builtinId="5"/>
  </cellStyles>
  <dxfs count="21">
    <dxf>
      <fill>
        <patternFill>
          <bgColor theme="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6"/>
        </patternFill>
      </fill>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20"/>
    </tableStyle>
  </tableStyles>
  <colors>
    <mruColors>
      <color rgb="FF2F80ED"/>
      <color rgb="FF7F8C8D"/>
      <color rgb="FFE0E0E0"/>
      <color rgb="FFF5F7FA"/>
      <color rgb="FF2C3E50"/>
      <color rgb="FF27AE6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Dashboard.xlsx]Pivots!monthly trend</c:name>
    <c:fmtId val="31"/>
  </c:pivotSource>
  <c:chart>
    <c:title>
      <c:tx>
        <c:rich>
          <a:bodyPr rot="0" spcFirstLastPara="1" vertOverflow="ellipsis" vert="horz" wrap="square" anchor="ctr" anchorCtr="1"/>
          <a:lstStyle/>
          <a:p>
            <a:pPr>
              <a:defRPr sz="1400" b="1" i="0" u="none" strike="noStrike" kern="1200" spc="0" baseline="0">
                <a:ln>
                  <a:noFill/>
                </a:ln>
                <a:solidFill>
                  <a:srgbClr val="0070C0"/>
                </a:solidFill>
                <a:latin typeface="+mn-lt"/>
                <a:ea typeface="+mn-ea"/>
                <a:cs typeface="+mn-cs"/>
              </a:defRPr>
            </a:pPr>
            <a:r>
              <a:rPr lang="en-US" b="1">
                <a:solidFill>
                  <a:srgbClr val="0070C0"/>
                </a:solidFill>
              </a:rPr>
              <a:t>Call Trend</a:t>
            </a:r>
          </a:p>
        </c:rich>
      </c:tx>
      <c:layout>
        <c:manualLayout>
          <c:xMode val="edge"/>
          <c:yMode val="edge"/>
          <c:x val="2.9979936675761182E-2"/>
          <c:y val="3.8377349306107464E-2"/>
        </c:manualLayout>
      </c:layout>
      <c:overlay val="0"/>
      <c:spPr>
        <a:noFill/>
        <a:ln>
          <a:noFill/>
        </a:ln>
        <a:effectLst/>
      </c:spPr>
      <c:txPr>
        <a:bodyPr rot="0" spcFirstLastPara="1" vertOverflow="ellipsis" vert="horz" wrap="square" anchor="ctr" anchorCtr="1"/>
        <a:lstStyle/>
        <a:p>
          <a:pPr>
            <a:defRPr sz="1400" b="1" i="0" u="none" strike="noStrike" kern="1200" spc="0" baseline="0">
              <a:ln>
                <a:noFill/>
              </a:ln>
              <a:solidFill>
                <a:srgbClr val="0070C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6"/>
          <c:spPr>
            <a:solidFill>
              <a:srgbClr val="F5F7FA"/>
            </a:solidFill>
            <a:ln w="12700">
              <a:solidFill>
                <a:srgbClr val="2F80ED"/>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Pivots!$C$23</c:f>
              <c:strCache>
                <c:ptCount val="1"/>
                <c:pt idx="0">
                  <c:v>Call Count2</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dLbls>
            <c:delete val="1"/>
          </c:dLbls>
          <c:cat>
            <c:strRef>
              <c:f>Pivots!$A$24:$A$36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Pivots!$C$24:$C$36</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74E1-4AAA-B203-7AE06D71A558}"/>
            </c:ext>
          </c:extLst>
        </c:ser>
        <c:dLbls>
          <c:showLegendKey val="0"/>
          <c:showVal val="1"/>
          <c:showCatName val="0"/>
          <c:showSerName val="0"/>
          <c:showPercent val="0"/>
          <c:showBubbleSize val="0"/>
        </c:dLbls>
        <c:axId val="430008416"/>
        <c:axId val="430008896"/>
      </c:areaChart>
      <c:lineChart>
        <c:grouping val="standard"/>
        <c:varyColors val="0"/>
        <c:ser>
          <c:idx val="0"/>
          <c:order val="0"/>
          <c:tx>
            <c:strRef>
              <c:f>Pivots!$B$23</c:f>
              <c:strCache>
                <c:ptCount val="1"/>
                <c:pt idx="0">
                  <c:v>Call Count</c:v>
                </c:pt>
              </c:strCache>
            </c:strRef>
          </c:tx>
          <c:spPr>
            <a:ln w="28575" cap="rnd">
              <a:solidFill>
                <a:schemeClr val="accent1"/>
              </a:solidFill>
              <a:round/>
            </a:ln>
            <a:effectLst/>
          </c:spPr>
          <c:marker>
            <c:symbol val="circle"/>
            <c:size val="6"/>
            <c:spPr>
              <a:solidFill>
                <a:srgbClr val="F5F7FA"/>
              </a:solidFill>
              <a:ln w="12700">
                <a:solidFill>
                  <a:srgbClr val="2F80ED"/>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Pivots!$B$24:$B$36</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1-74E1-4AAA-B203-7AE06D71A558}"/>
            </c:ext>
          </c:extLst>
        </c:ser>
        <c:dLbls>
          <c:showLegendKey val="0"/>
          <c:showVal val="1"/>
          <c:showCatName val="0"/>
          <c:showSerName val="0"/>
          <c:showPercent val="0"/>
          <c:showBubbleSize val="0"/>
        </c:dLbls>
        <c:marker val="1"/>
        <c:smooth val="0"/>
        <c:axId val="430008416"/>
        <c:axId val="430008896"/>
      </c:lineChart>
      <c:catAx>
        <c:axId val="43000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chemeClr val="tx1">
                    <a:lumMod val="65000"/>
                    <a:lumOff val="35000"/>
                  </a:schemeClr>
                </a:solidFill>
                <a:latin typeface="+mn-lt"/>
                <a:ea typeface="+mn-ea"/>
                <a:cs typeface="+mn-cs"/>
              </a:defRPr>
            </a:pPr>
            <a:endParaRPr lang="en-US"/>
          </a:p>
        </c:txPr>
        <c:crossAx val="430008896"/>
        <c:crosses val="autoZero"/>
        <c:auto val="1"/>
        <c:lblAlgn val="ctr"/>
        <c:lblOffset val="100"/>
        <c:noMultiLvlLbl val="0"/>
      </c:catAx>
      <c:valAx>
        <c:axId val="4300088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43000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Dashboard.xlsx]Pivots!week day trend</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5F7FA"/>
              </a:gs>
              <a:gs pos="46000">
                <a:schemeClr val="accent1">
                  <a:lumMod val="95000"/>
                  <a:lumOff val="5000"/>
                </a:schemeClr>
              </a:gs>
              <a:gs pos="100000">
                <a:schemeClr val="accent1">
                  <a:lumMod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F5F7FA"/>
              </a:gs>
              <a:gs pos="46000">
                <a:schemeClr val="accent1">
                  <a:lumMod val="95000"/>
                  <a:lumOff val="5000"/>
                </a:schemeClr>
              </a:gs>
              <a:gs pos="100000">
                <a:schemeClr val="accent1">
                  <a:lumMod val="60000"/>
                </a:schemeClr>
              </a:gs>
            </a:gsLst>
            <a:path path="circle">
              <a:fillToRect l="100000" t="100000"/>
            </a:path>
            <a:tileRect r="-100000" b="-100000"/>
          </a:gradFill>
          <a:ln>
            <a:noFill/>
          </a:ln>
          <a:effectLst/>
        </c:spPr>
      </c:pivotFmt>
      <c:pivotFmt>
        <c:idx val="4"/>
        <c:spPr>
          <a:gradFill flip="none" rotWithShape="1">
            <a:gsLst>
              <a:gs pos="0">
                <a:srgbClr val="F5F7FA"/>
              </a:gs>
              <a:gs pos="46000">
                <a:schemeClr val="accent1">
                  <a:lumMod val="95000"/>
                  <a:lumOff val="5000"/>
                </a:schemeClr>
              </a:gs>
              <a:gs pos="100000">
                <a:schemeClr val="accent1">
                  <a:lumMod val="60000"/>
                </a:schemeClr>
              </a:gs>
            </a:gsLst>
            <a:path path="circle">
              <a:fillToRect l="100000" t="100000"/>
            </a:path>
            <a:tileRect r="-100000" b="-100000"/>
          </a:gradFill>
          <a:ln>
            <a:noFill/>
          </a:ln>
          <a:effectLst/>
        </c:spPr>
      </c:pivotFmt>
      <c:pivotFmt>
        <c:idx val="5"/>
        <c:spPr>
          <a:gradFill flip="none" rotWithShape="1">
            <a:gsLst>
              <a:gs pos="0">
                <a:srgbClr val="F5F7FA"/>
              </a:gs>
              <a:gs pos="46000">
                <a:schemeClr val="accent1">
                  <a:lumMod val="95000"/>
                  <a:lumOff val="5000"/>
                </a:schemeClr>
              </a:gs>
              <a:gs pos="100000">
                <a:schemeClr val="accent1">
                  <a:lumMod val="60000"/>
                </a:schemeClr>
              </a:gs>
            </a:gsLst>
            <a:path path="circle">
              <a:fillToRect l="100000" t="100000"/>
            </a:path>
            <a:tileRect r="-100000" b="-100000"/>
          </a:gradFill>
          <a:ln>
            <a:noFill/>
          </a:ln>
          <a:effectLst/>
        </c:spPr>
      </c:pivotFmt>
      <c:pivotFmt>
        <c:idx val="6"/>
        <c:spPr>
          <a:gradFill flip="none" rotWithShape="1">
            <a:gsLst>
              <a:gs pos="0">
                <a:srgbClr val="F5F7FA"/>
              </a:gs>
              <a:gs pos="46000">
                <a:schemeClr val="accent1">
                  <a:lumMod val="95000"/>
                  <a:lumOff val="5000"/>
                </a:schemeClr>
              </a:gs>
              <a:gs pos="100000">
                <a:schemeClr val="accent1">
                  <a:lumMod val="60000"/>
                </a:schemeClr>
              </a:gs>
            </a:gsLst>
            <a:path path="circle">
              <a:fillToRect l="100000" t="100000"/>
            </a:path>
            <a:tileRect r="-100000" b="-100000"/>
          </a:gradFill>
          <a:ln>
            <a:noFill/>
          </a:ln>
          <a:effectLst/>
        </c:spPr>
      </c:pivotFmt>
      <c:pivotFmt>
        <c:idx val="7"/>
        <c:spPr>
          <a:gradFill flip="none" rotWithShape="1">
            <a:gsLst>
              <a:gs pos="0">
                <a:srgbClr val="F5F7FA"/>
              </a:gs>
              <a:gs pos="46000">
                <a:schemeClr val="accent1">
                  <a:lumMod val="95000"/>
                  <a:lumOff val="5000"/>
                </a:schemeClr>
              </a:gs>
              <a:gs pos="100000">
                <a:schemeClr val="accent1">
                  <a:lumMod val="60000"/>
                </a:schemeClr>
              </a:gs>
            </a:gsLst>
            <a:path path="circle">
              <a:fillToRect l="100000" t="100000"/>
            </a:path>
            <a:tileRect r="-100000" b="-100000"/>
          </a:gradFill>
          <a:ln>
            <a:noFill/>
          </a:ln>
          <a:effectLst/>
        </c:spPr>
      </c:pivotFmt>
      <c:pivotFmt>
        <c:idx val="8"/>
        <c:spPr>
          <a:gradFill flip="none" rotWithShape="1">
            <a:gsLst>
              <a:gs pos="0">
                <a:srgbClr val="F5F7FA"/>
              </a:gs>
              <a:gs pos="46000">
                <a:schemeClr val="accent1">
                  <a:lumMod val="95000"/>
                  <a:lumOff val="5000"/>
                </a:schemeClr>
              </a:gs>
              <a:gs pos="100000">
                <a:schemeClr val="accent1">
                  <a:lumMod val="60000"/>
                </a:schemeClr>
              </a:gs>
            </a:gsLst>
            <a:path path="circle">
              <a:fillToRect l="100000" t="100000"/>
            </a:path>
            <a:tileRect r="-100000" b="-100000"/>
          </a:gradFill>
          <a:ln>
            <a:noFill/>
          </a:ln>
          <a:effectLst/>
        </c:spPr>
      </c:pivotFmt>
      <c:pivotFmt>
        <c:idx val="9"/>
        <c:spPr>
          <a:gradFill flip="none" rotWithShape="1">
            <a:gsLst>
              <a:gs pos="0">
                <a:srgbClr val="F5F7FA"/>
              </a:gs>
              <a:gs pos="46000">
                <a:schemeClr val="accent1">
                  <a:lumMod val="95000"/>
                  <a:lumOff val="5000"/>
                </a:schemeClr>
              </a:gs>
              <a:gs pos="100000">
                <a:schemeClr val="accent1">
                  <a:lumMod val="60000"/>
                </a:schemeClr>
              </a:gs>
            </a:gsLst>
            <a:path path="circle">
              <a:fillToRect l="100000" t="100000"/>
            </a:path>
            <a:tileRect r="-100000" b="-100000"/>
          </a:gradFill>
          <a:ln>
            <a:noFill/>
          </a:ln>
          <a:effectLst/>
        </c:spPr>
      </c:pivotFmt>
    </c:pivotFmts>
    <c:plotArea>
      <c:layout>
        <c:manualLayout>
          <c:layoutTarget val="inner"/>
          <c:xMode val="edge"/>
          <c:yMode val="edge"/>
          <c:x val="2.3958151064450272E-2"/>
          <c:y val="3.7082234060975237E-2"/>
          <c:w val="0.49590959463400408"/>
          <c:h val="0.93280133538548471"/>
        </c:manualLayout>
      </c:layout>
      <c:barChart>
        <c:barDir val="bar"/>
        <c:grouping val="clustered"/>
        <c:varyColors val="1"/>
        <c:ser>
          <c:idx val="0"/>
          <c:order val="0"/>
          <c:tx>
            <c:strRef>
              <c:f>Pivots!$F$23</c:f>
              <c:strCache>
                <c:ptCount val="1"/>
                <c:pt idx="0">
                  <c:v>Total</c:v>
                </c:pt>
              </c:strCache>
            </c:strRef>
          </c:tx>
          <c:spPr>
            <a:gradFill flip="none" rotWithShape="1">
              <a:gsLst>
                <a:gs pos="0">
                  <a:srgbClr val="F5F7FA"/>
                </a:gs>
                <a:gs pos="46000">
                  <a:schemeClr val="accent1">
                    <a:lumMod val="95000"/>
                    <a:lumOff val="5000"/>
                  </a:schemeClr>
                </a:gs>
                <a:gs pos="100000">
                  <a:schemeClr val="accent1">
                    <a:lumMod val="60000"/>
                  </a:schemeClr>
                </a:gs>
              </a:gsLst>
              <a:path path="circle">
                <a:fillToRect l="100000" t="100000"/>
              </a:path>
              <a:tileRect r="-100000" b="-100000"/>
            </a:gradFill>
          </c:spPr>
          <c:invertIfNegative val="0"/>
          <c:dPt>
            <c:idx val="0"/>
            <c:invertIfNegative val="0"/>
            <c:bubble3D val="0"/>
            <c:spPr>
              <a:gradFill flip="none" rotWithShape="1">
                <a:gsLst>
                  <a:gs pos="0">
                    <a:srgbClr val="F5F7FA"/>
                  </a:gs>
                  <a:gs pos="46000">
                    <a:schemeClr val="accent1">
                      <a:lumMod val="95000"/>
                      <a:lumOff val="5000"/>
                    </a:schemeClr>
                  </a:gs>
                  <a:gs pos="100000">
                    <a:schemeClr val="accent1">
                      <a:lumMod val="60000"/>
                    </a:schemeClr>
                  </a:gs>
                </a:gsLst>
                <a:path path="circle">
                  <a:fillToRect l="100000" t="100000"/>
                </a:path>
                <a:tileRect r="-100000" b="-100000"/>
              </a:gradFill>
              <a:ln>
                <a:noFill/>
              </a:ln>
              <a:effectLst/>
            </c:spPr>
            <c:extLst>
              <c:ext xmlns:c16="http://schemas.microsoft.com/office/drawing/2014/chart" uri="{C3380CC4-5D6E-409C-BE32-E72D297353CC}">
                <c16:uniqueId val="{00000001-C65A-4E9F-ABE7-FD44BACD4231}"/>
              </c:ext>
            </c:extLst>
          </c:dPt>
          <c:dPt>
            <c:idx val="1"/>
            <c:invertIfNegative val="0"/>
            <c:bubble3D val="0"/>
            <c:spPr>
              <a:gradFill flip="none" rotWithShape="1">
                <a:gsLst>
                  <a:gs pos="0">
                    <a:srgbClr val="F5F7FA"/>
                  </a:gs>
                  <a:gs pos="46000">
                    <a:schemeClr val="accent1">
                      <a:lumMod val="95000"/>
                      <a:lumOff val="5000"/>
                    </a:schemeClr>
                  </a:gs>
                  <a:gs pos="100000">
                    <a:schemeClr val="accent1">
                      <a:lumMod val="60000"/>
                    </a:schemeClr>
                  </a:gs>
                </a:gsLst>
                <a:path path="circle">
                  <a:fillToRect l="100000" t="100000"/>
                </a:path>
                <a:tileRect r="-100000" b="-100000"/>
              </a:gradFill>
              <a:ln>
                <a:noFill/>
              </a:ln>
              <a:effectLst/>
            </c:spPr>
            <c:extLst>
              <c:ext xmlns:c16="http://schemas.microsoft.com/office/drawing/2014/chart" uri="{C3380CC4-5D6E-409C-BE32-E72D297353CC}">
                <c16:uniqueId val="{00000003-C65A-4E9F-ABE7-FD44BACD4231}"/>
              </c:ext>
            </c:extLst>
          </c:dPt>
          <c:dPt>
            <c:idx val="2"/>
            <c:invertIfNegative val="0"/>
            <c:bubble3D val="0"/>
            <c:spPr>
              <a:gradFill flip="none" rotWithShape="1">
                <a:gsLst>
                  <a:gs pos="0">
                    <a:srgbClr val="F5F7FA"/>
                  </a:gs>
                  <a:gs pos="46000">
                    <a:schemeClr val="accent1">
                      <a:lumMod val="95000"/>
                      <a:lumOff val="5000"/>
                    </a:schemeClr>
                  </a:gs>
                  <a:gs pos="100000">
                    <a:schemeClr val="accent1">
                      <a:lumMod val="60000"/>
                    </a:schemeClr>
                  </a:gs>
                </a:gsLst>
                <a:path path="circle">
                  <a:fillToRect l="100000" t="100000"/>
                </a:path>
                <a:tileRect r="-100000" b="-100000"/>
              </a:gradFill>
              <a:ln>
                <a:noFill/>
              </a:ln>
              <a:effectLst/>
            </c:spPr>
            <c:extLst>
              <c:ext xmlns:c16="http://schemas.microsoft.com/office/drawing/2014/chart" uri="{C3380CC4-5D6E-409C-BE32-E72D297353CC}">
                <c16:uniqueId val="{00000005-C65A-4E9F-ABE7-FD44BACD4231}"/>
              </c:ext>
            </c:extLst>
          </c:dPt>
          <c:dPt>
            <c:idx val="3"/>
            <c:invertIfNegative val="0"/>
            <c:bubble3D val="0"/>
            <c:spPr>
              <a:gradFill flip="none" rotWithShape="1">
                <a:gsLst>
                  <a:gs pos="0">
                    <a:srgbClr val="F5F7FA"/>
                  </a:gs>
                  <a:gs pos="46000">
                    <a:schemeClr val="accent1">
                      <a:lumMod val="95000"/>
                      <a:lumOff val="5000"/>
                    </a:schemeClr>
                  </a:gs>
                  <a:gs pos="100000">
                    <a:schemeClr val="accent1">
                      <a:lumMod val="60000"/>
                    </a:schemeClr>
                  </a:gs>
                </a:gsLst>
                <a:path path="circle">
                  <a:fillToRect l="100000" t="100000"/>
                </a:path>
                <a:tileRect r="-100000" b="-100000"/>
              </a:gradFill>
              <a:ln>
                <a:noFill/>
              </a:ln>
              <a:effectLst/>
            </c:spPr>
            <c:extLst>
              <c:ext xmlns:c16="http://schemas.microsoft.com/office/drawing/2014/chart" uri="{C3380CC4-5D6E-409C-BE32-E72D297353CC}">
                <c16:uniqueId val="{00000007-C65A-4E9F-ABE7-FD44BACD4231}"/>
              </c:ext>
            </c:extLst>
          </c:dPt>
          <c:dPt>
            <c:idx val="4"/>
            <c:invertIfNegative val="0"/>
            <c:bubble3D val="0"/>
            <c:spPr>
              <a:gradFill flip="none" rotWithShape="1">
                <a:gsLst>
                  <a:gs pos="0">
                    <a:srgbClr val="F5F7FA"/>
                  </a:gs>
                  <a:gs pos="46000">
                    <a:schemeClr val="accent1">
                      <a:lumMod val="95000"/>
                      <a:lumOff val="5000"/>
                    </a:schemeClr>
                  </a:gs>
                  <a:gs pos="100000">
                    <a:schemeClr val="accent1">
                      <a:lumMod val="60000"/>
                    </a:schemeClr>
                  </a:gs>
                </a:gsLst>
                <a:path path="circle">
                  <a:fillToRect l="100000" t="100000"/>
                </a:path>
                <a:tileRect r="-100000" b="-100000"/>
              </a:gradFill>
              <a:ln>
                <a:noFill/>
              </a:ln>
              <a:effectLst/>
            </c:spPr>
            <c:extLst>
              <c:ext xmlns:c16="http://schemas.microsoft.com/office/drawing/2014/chart" uri="{C3380CC4-5D6E-409C-BE32-E72D297353CC}">
                <c16:uniqueId val="{00000009-C65A-4E9F-ABE7-FD44BACD4231}"/>
              </c:ext>
            </c:extLst>
          </c:dPt>
          <c:dPt>
            <c:idx val="5"/>
            <c:invertIfNegative val="0"/>
            <c:bubble3D val="0"/>
            <c:spPr>
              <a:gradFill flip="none" rotWithShape="1">
                <a:gsLst>
                  <a:gs pos="0">
                    <a:srgbClr val="F5F7FA"/>
                  </a:gs>
                  <a:gs pos="46000">
                    <a:schemeClr val="accent1">
                      <a:lumMod val="95000"/>
                      <a:lumOff val="5000"/>
                    </a:schemeClr>
                  </a:gs>
                  <a:gs pos="100000">
                    <a:schemeClr val="accent1">
                      <a:lumMod val="60000"/>
                    </a:schemeClr>
                  </a:gs>
                </a:gsLst>
                <a:path path="circle">
                  <a:fillToRect l="100000" t="100000"/>
                </a:path>
                <a:tileRect r="-100000" b="-100000"/>
              </a:gradFill>
              <a:ln>
                <a:noFill/>
              </a:ln>
              <a:effectLst/>
            </c:spPr>
            <c:extLst>
              <c:ext xmlns:c16="http://schemas.microsoft.com/office/drawing/2014/chart" uri="{C3380CC4-5D6E-409C-BE32-E72D297353CC}">
                <c16:uniqueId val="{0000000B-C65A-4E9F-ABE7-FD44BACD4231}"/>
              </c:ext>
            </c:extLst>
          </c:dPt>
          <c:dPt>
            <c:idx val="6"/>
            <c:invertIfNegative val="0"/>
            <c:bubble3D val="0"/>
            <c:spPr>
              <a:gradFill flip="none" rotWithShape="1">
                <a:gsLst>
                  <a:gs pos="0">
                    <a:srgbClr val="F5F7FA"/>
                  </a:gs>
                  <a:gs pos="46000">
                    <a:schemeClr val="accent1">
                      <a:lumMod val="95000"/>
                      <a:lumOff val="5000"/>
                    </a:schemeClr>
                  </a:gs>
                  <a:gs pos="100000">
                    <a:schemeClr val="accent1">
                      <a:lumMod val="60000"/>
                    </a:schemeClr>
                  </a:gs>
                </a:gsLst>
                <a:path path="circle">
                  <a:fillToRect l="100000" t="100000"/>
                </a:path>
                <a:tileRect r="-100000" b="-100000"/>
              </a:gradFill>
              <a:ln>
                <a:noFill/>
              </a:ln>
              <a:effectLst/>
            </c:spPr>
            <c:extLst>
              <c:ext xmlns:c16="http://schemas.microsoft.com/office/drawing/2014/chart" uri="{C3380CC4-5D6E-409C-BE32-E72D297353CC}">
                <c16:uniqueId val="{0000000D-C65A-4E9F-ABE7-FD44BACD423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Pivots!$E$24:$E$31</c:f>
              <c:strCache>
                <c:ptCount val="7"/>
                <c:pt idx="0">
                  <c:v>Sunday</c:v>
                </c:pt>
                <c:pt idx="1">
                  <c:v>Monday</c:v>
                </c:pt>
                <c:pt idx="2">
                  <c:v>Tuesday</c:v>
                </c:pt>
                <c:pt idx="3">
                  <c:v>Wednesday</c:v>
                </c:pt>
                <c:pt idx="4">
                  <c:v>Thursday</c:v>
                </c:pt>
                <c:pt idx="5">
                  <c:v>Friday</c:v>
                </c:pt>
                <c:pt idx="6">
                  <c:v>Saturday</c:v>
                </c:pt>
              </c:strCache>
            </c:strRef>
          </c:cat>
          <c:val>
            <c:numRef>
              <c:f>Pivots!$F$24:$F$31</c:f>
              <c:numCache>
                <c:formatCode>#,##0</c:formatCode>
                <c:ptCount val="7"/>
                <c:pt idx="0">
                  <c:v>28</c:v>
                </c:pt>
                <c:pt idx="1">
                  <c:v>24</c:v>
                </c:pt>
                <c:pt idx="2">
                  <c:v>44</c:v>
                </c:pt>
                <c:pt idx="3">
                  <c:v>36</c:v>
                </c:pt>
                <c:pt idx="4">
                  <c:v>33</c:v>
                </c:pt>
                <c:pt idx="5">
                  <c:v>29</c:v>
                </c:pt>
                <c:pt idx="6">
                  <c:v>24</c:v>
                </c:pt>
              </c:numCache>
            </c:numRef>
          </c:val>
          <c:extLst>
            <c:ext xmlns:c16="http://schemas.microsoft.com/office/drawing/2014/chart" uri="{C3380CC4-5D6E-409C-BE32-E72D297353CC}">
              <c16:uniqueId val="{00000000-F3DC-4F69-89BD-22198D2F441A}"/>
            </c:ext>
          </c:extLst>
        </c:ser>
        <c:dLbls>
          <c:showLegendKey val="0"/>
          <c:showVal val="0"/>
          <c:showCatName val="0"/>
          <c:showSerName val="0"/>
          <c:showPercent val="0"/>
          <c:showBubbleSize val="0"/>
        </c:dLbls>
        <c:gapWidth val="25"/>
        <c:axId val="1358138032"/>
        <c:axId val="1358142352"/>
      </c:barChart>
      <c:catAx>
        <c:axId val="135813803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58142352"/>
        <c:crosses val="autoZero"/>
        <c:auto val="1"/>
        <c:lblAlgn val="ctr"/>
        <c:lblOffset val="100"/>
        <c:noMultiLvlLbl val="0"/>
      </c:catAx>
      <c:valAx>
        <c:axId val="1358142352"/>
        <c:scaling>
          <c:orientation val="minMax"/>
        </c:scaling>
        <c:delete val="1"/>
        <c:axPos val="t"/>
        <c:numFmt formatCode="#,##0" sourceLinked="1"/>
        <c:majorTickMark val="out"/>
        <c:minorTickMark val="none"/>
        <c:tickLblPos val="nextTo"/>
        <c:crossAx val="1358138032"/>
        <c:crosses val="autoZero"/>
        <c:crossBetween val="between"/>
      </c:valAx>
      <c:spPr>
        <a:noFill/>
        <a:ln>
          <a:noFill/>
        </a:ln>
        <a:effectLst>
          <a:outerShdw blurRad="50800" dist="50800" dir="5400000" sx="1000" sy="1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70C0"/>
                </a:solidFill>
                <a:latin typeface="+mj-lt"/>
                <a:ea typeface="+mn-ea"/>
                <a:cs typeface="+mn-cs"/>
              </a:defRPr>
            </a:pPr>
            <a:r>
              <a:rPr lang="en-US" b="1">
                <a:solidFill>
                  <a:srgbClr val="0070C0"/>
                </a:solidFill>
                <a:latin typeface="+mj-lt"/>
              </a:rPr>
              <a:t>Calls</a:t>
            </a:r>
          </a:p>
        </c:rich>
      </c:tx>
      <c:layout>
        <c:manualLayout>
          <c:xMode val="edge"/>
          <c:yMode val="edge"/>
          <c:x val="0.15467848789507843"/>
          <c:y val="2.487562189054726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70C0"/>
              </a:solidFill>
              <a:latin typeface="+mj-lt"/>
              <a:ea typeface="+mn-ea"/>
              <a:cs typeface="+mn-cs"/>
            </a:defRPr>
          </a:pPr>
          <a:endParaRPr lang="en-US"/>
        </a:p>
      </c:txPr>
    </c:title>
    <c:autoTitleDeleted val="0"/>
    <c:plotArea>
      <c:layout/>
      <c:barChart>
        <c:barDir val="bar"/>
        <c:grouping val="clustered"/>
        <c:varyColors val="0"/>
        <c:ser>
          <c:idx val="0"/>
          <c:order val="0"/>
          <c:spPr>
            <a:solidFill>
              <a:srgbClr val="2F80ED">
                <a:alpha val="52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Pivots!$E$42:$E$46</c:f>
              <c:strCache>
                <c:ptCount val="5"/>
                <c:pt idx="0">
                  <c:v>R01</c:v>
                </c:pt>
                <c:pt idx="1">
                  <c:v>R02</c:v>
                </c:pt>
                <c:pt idx="2">
                  <c:v>R03</c:v>
                </c:pt>
                <c:pt idx="3">
                  <c:v>R04</c:v>
                </c:pt>
                <c:pt idx="4">
                  <c:v>R05</c:v>
                </c:pt>
              </c:strCache>
            </c:strRef>
          </c:cat>
          <c:val>
            <c:numRef>
              <c:f>Pivots!$F$42:$F$46</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5A5D-4C4C-B38A-14F2EF040A63}"/>
            </c:ext>
          </c:extLst>
        </c:ser>
        <c:ser>
          <c:idx val="1"/>
          <c:order val="1"/>
          <c:tx>
            <c:strRef>
              <c:f>Pivots!$H$41</c:f>
              <c:strCache>
                <c:ptCount val="1"/>
                <c:pt idx="0">
                  <c:v>Sel.Calls</c:v>
                </c:pt>
              </c:strCache>
            </c:strRef>
          </c:tx>
          <c:spPr>
            <a:solidFill>
              <a:srgbClr val="2F80E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Pivots!$H$42:$H$46</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1-5A5D-4C4C-B38A-14F2EF040A63}"/>
            </c:ext>
          </c:extLst>
        </c:ser>
        <c:dLbls>
          <c:dLblPos val="outEnd"/>
          <c:showLegendKey val="0"/>
          <c:showVal val="1"/>
          <c:showCatName val="0"/>
          <c:showSerName val="0"/>
          <c:showPercent val="0"/>
          <c:showBubbleSize val="0"/>
        </c:dLbls>
        <c:gapWidth val="25"/>
        <c:overlap val="100"/>
        <c:axId val="1448478480"/>
        <c:axId val="1448462160"/>
      </c:barChart>
      <c:catAx>
        <c:axId val="144847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48462160"/>
        <c:crosses val="autoZero"/>
        <c:auto val="1"/>
        <c:lblAlgn val="ctr"/>
        <c:lblOffset val="100"/>
        <c:noMultiLvlLbl val="0"/>
      </c:catAx>
      <c:valAx>
        <c:axId val="1448462160"/>
        <c:scaling>
          <c:orientation val="minMax"/>
          <c:min val="0"/>
        </c:scaling>
        <c:delete val="1"/>
        <c:axPos val="b"/>
        <c:numFmt formatCode="General" sourceLinked="1"/>
        <c:majorTickMark val="none"/>
        <c:minorTickMark val="none"/>
        <c:tickLblPos val="nextTo"/>
        <c:crossAx val="144847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70C0"/>
                </a:solidFill>
                <a:latin typeface="+mj-lt"/>
                <a:ea typeface="+mn-ea"/>
                <a:cs typeface="+mn-cs"/>
              </a:defRPr>
            </a:pPr>
            <a:r>
              <a:rPr lang="en-US" b="1">
                <a:solidFill>
                  <a:srgbClr val="0070C0"/>
                </a:solidFill>
                <a:latin typeface="+mj-lt"/>
              </a:rPr>
              <a:t>Amount</a:t>
            </a:r>
          </a:p>
        </c:rich>
      </c:tx>
      <c:layout>
        <c:manualLayout>
          <c:xMode val="edge"/>
          <c:yMode val="edge"/>
          <c:x val="0.17954545454545456"/>
          <c:y val="2.484913028044018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70C0"/>
              </a:solidFill>
              <a:latin typeface="+mj-lt"/>
              <a:ea typeface="+mn-ea"/>
              <a:cs typeface="+mn-cs"/>
            </a:defRPr>
          </a:pPr>
          <a:endParaRPr lang="en-US"/>
        </a:p>
      </c:txPr>
    </c:title>
    <c:autoTitleDeleted val="0"/>
    <c:plotArea>
      <c:layout/>
      <c:barChart>
        <c:barDir val="bar"/>
        <c:grouping val="clustered"/>
        <c:varyColors val="0"/>
        <c:ser>
          <c:idx val="0"/>
          <c:order val="0"/>
          <c:spPr>
            <a:solidFill>
              <a:srgbClr val="2F80ED">
                <a:alpha val="53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Pivots!$E$42:$E$46</c:f>
              <c:strCache>
                <c:ptCount val="5"/>
                <c:pt idx="0">
                  <c:v>R01</c:v>
                </c:pt>
                <c:pt idx="1">
                  <c:v>R02</c:v>
                </c:pt>
                <c:pt idx="2">
                  <c:v>R03</c:v>
                </c:pt>
                <c:pt idx="3">
                  <c:v>R04</c:v>
                </c:pt>
                <c:pt idx="4">
                  <c:v>R05</c:v>
                </c:pt>
              </c:strCache>
            </c:strRef>
          </c:cat>
          <c:val>
            <c:numRef>
              <c:f>Pivots!$G$42:$G$46</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236F-4B82-831E-4F85475261C0}"/>
            </c:ext>
          </c:extLst>
        </c:ser>
        <c:ser>
          <c:idx val="1"/>
          <c:order val="1"/>
          <c:tx>
            <c:strRef>
              <c:f>Pivots!$I$41</c:f>
              <c:strCache>
                <c:ptCount val="1"/>
                <c:pt idx="0">
                  <c:v>Sel.Amount</c:v>
                </c:pt>
              </c:strCache>
            </c:strRef>
          </c:tx>
          <c:spPr>
            <a:solidFill>
              <a:srgbClr val="2F80ED"/>
            </a:solidFill>
            <a:ln>
              <a:noFill/>
            </a:ln>
            <a:effectLst/>
          </c:spPr>
          <c:invertIfNegative val="0"/>
          <c:val>
            <c:numRef>
              <c:f>Pivots!$I$42:$I$46</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1-236F-4B82-831E-4F85475261C0}"/>
            </c:ext>
          </c:extLst>
        </c:ser>
        <c:dLbls>
          <c:showLegendKey val="0"/>
          <c:showVal val="0"/>
          <c:showCatName val="0"/>
          <c:showSerName val="0"/>
          <c:showPercent val="0"/>
          <c:showBubbleSize val="0"/>
        </c:dLbls>
        <c:gapWidth val="25"/>
        <c:overlap val="100"/>
        <c:axId val="1448478480"/>
        <c:axId val="1448462160"/>
      </c:barChart>
      <c:catAx>
        <c:axId val="144847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48462160"/>
        <c:crosses val="autoZero"/>
        <c:auto val="1"/>
        <c:lblAlgn val="ctr"/>
        <c:lblOffset val="100"/>
        <c:noMultiLvlLbl val="0"/>
      </c:catAx>
      <c:valAx>
        <c:axId val="1448462160"/>
        <c:scaling>
          <c:orientation val="minMax"/>
          <c:min val="0"/>
        </c:scaling>
        <c:delete val="1"/>
        <c:axPos val="b"/>
        <c:majorGridlines>
          <c:spPr>
            <a:ln w="9525" cap="flat" cmpd="sng" algn="ctr">
              <a:noFill/>
              <a:round/>
            </a:ln>
            <a:effectLst/>
          </c:spPr>
        </c:majorGridlines>
        <c:numFmt formatCode="&quot;$&quot;#,###.0,&quot;k&quot;" sourceLinked="1"/>
        <c:majorTickMark val="none"/>
        <c:minorTickMark val="none"/>
        <c:tickLblPos val="nextTo"/>
        <c:crossAx val="144847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Dashboard.xlsx]Pivots!PivotTable8</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5F7FA"/>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5F7FA"/>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30181086519115E-2"/>
          <c:y val="0.19907407407407407"/>
          <c:w val="0.92622401073105298"/>
          <c:h val="0.69294765237678624"/>
        </c:manualLayout>
      </c:layout>
      <c:barChart>
        <c:barDir val="col"/>
        <c:grouping val="percentStacked"/>
        <c:varyColors val="0"/>
        <c:ser>
          <c:idx val="0"/>
          <c:order val="0"/>
          <c:tx>
            <c:strRef>
              <c:f>Pivots!$B$59:$B$60</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5F7FA"/>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Pivots!$A$61:$A$64</c:f>
              <c:strCache>
                <c:ptCount val="3"/>
                <c:pt idx="0">
                  <c:v>Cincinnati</c:v>
                </c:pt>
                <c:pt idx="1">
                  <c:v>Cleveland</c:v>
                </c:pt>
                <c:pt idx="2">
                  <c:v>Columbus</c:v>
                </c:pt>
              </c:strCache>
            </c:strRef>
          </c:cat>
          <c:val>
            <c:numRef>
              <c:f>Pivots!$B$61:$B$64</c:f>
              <c:numCache>
                <c:formatCode>#,##0</c:formatCode>
                <c:ptCount val="3"/>
                <c:pt idx="0">
                  <c:v>144</c:v>
                </c:pt>
                <c:pt idx="1">
                  <c:v>326</c:v>
                </c:pt>
                <c:pt idx="2">
                  <c:v>129</c:v>
                </c:pt>
              </c:numCache>
            </c:numRef>
          </c:val>
          <c:extLst>
            <c:ext xmlns:c16="http://schemas.microsoft.com/office/drawing/2014/chart" uri="{C3380CC4-5D6E-409C-BE32-E72D297353CC}">
              <c16:uniqueId val="{00000000-0DD9-47A8-9C92-CD391542B04D}"/>
            </c:ext>
          </c:extLst>
        </c:ser>
        <c:ser>
          <c:idx val="1"/>
          <c:order val="1"/>
          <c:tx>
            <c:strRef>
              <c:f>Pivots!$C$59:$C$60</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5F7FA"/>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Pivots!$A$61:$A$64</c:f>
              <c:strCache>
                <c:ptCount val="3"/>
                <c:pt idx="0">
                  <c:v>Cincinnati</c:v>
                </c:pt>
                <c:pt idx="1">
                  <c:v>Cleveland</c:v>
                </c:pt>
                <c:pt idx="2">
                  <c:v>Columbus</c:v>
                </c:pt>
              </c:strCache>
            </c:strRef>
          </c:cat>
          <c:val>
            <c:numRef>
              <c:f>Pivots!$C$61:$C$64</c:f>
              <c:numCache>
                <c:formatCode>#,##0</c:formatCode>
                <c:ptCount val="3"/>
                <c:pt idx="0">
                  <c:v>132</c:v>
                </c:pt>
                <c:pt idx="1">
                  <c:v>63</c:v>
                </c:pt>
                <c:pt idx="2">
                  <c:v>206</c:v>
                </c:pt>
              </c:numCache>
            </c:numRef>
          </c:val>
          <c:extLst>
            <c:ext xmlns:c16="http://schemas.microsoft.com/office/drawing/2014/chart" uri="{C3380CC4-5D6E-409C-BE32-E72D297353CC}">
              <c16:uniqueId val="{00000001-0DD9-47A8-9C92-CD391542B04D}"/>
            </c:ext>
          </c:extLst>
        </c:ser>
        <c:dLbls>
          <c:dLblPos val="ctr"/>
          <c:showLegendKey val="0"/>
          <c:showVal val="1"/>
          <c:showCatName val="0"/>
          <c:showSerName val="0"/>
          <c:showPercent val="0"/>
          <c:showBubbleSize val="0"/>
        </c:dLbls>
        <c:gapWidth val="25"/>
        <c:overlap val="100"/>
        <c:axId val="1448521200"/>
        <c:axId val="1448521680"/>
      </c:barChart>
      <c:catAx>
        <c:axId val="1448521200"/>
        <c:scaling>
          <c:orientation val="minMax"/>
        </c:scaling>
        <c:delete val="0"/>
        <c:axPos val="b"/>
        <c:title>
          <c:tx>
            <c:rich>
              <a:bodyPr rot="0" spcFirstLastPara="1" vertOverflow="ellipsis" vert="horz" wrap="square" anchor="ctr" anchorCtr="1"/>
              <a:lstStyle/>
              <a:p>
                <a:pPr>
                  <a:defRPr sz="1050" b="1" i="0" u="none" strike="noStrike" kern="1200" baseline="0">
                    <a:solidFill>
                      <a:srgbClr val="2F80ED"/>
                    </a:solidFill>
                    <a:latin typeface="+mn-lt"/>
                    <a:ea typeface="+mn-ea"/>
                    <a:cs typeface="+mn-cs"/>
                  </a:defRPr>
                </a:pPr>
                <a:r>
                  <a:rPr lang="en-US" sz="1050" b="1">
                    <a:solidFill>
                      <a:srgbClr val="0070C0"/>
                    </a:solidFill>
                  </a:rPr>
                  <a:t>Female</a:t>
                </a:r>
                <a:r>
                  <a:rPr lang="en-US" sz="1050" b="1" baseline="0">
                    <a:solidFill>
                      <a:srgbClr val="0070C0"/>
                    </a:solidFill>
                  </a:rPr>
                  <a:t> Vs Male Callers</a:t>
                </a:r>
                <a:endParaRPr lang="en-US" sz="1050" b="1">
                  <a:solidFill>
                    <a:srgbClr val="0070C0"/>
                  </a:solidFill>
                </a:endParaRPr>
              </a:p>
            </c:rich>
          </c:tx>
          <c:layout>
            <c:manualLayout>
              <c:xMode val="edge"/>
              <c:yMode val="edge"/>
              <c:x val="0.23202184132128179"/>
              <c:y val="2.4770746249311429E-2"/>
            </c:manualLayout>
          </c:layout>
          <c:overlay val="0"/>
          <c:spPr>
            <a:noFill/>
            <a:ln>
              <a:noFill/>
            </a:ln>
            <a:effectLst/>
          </c:spPr>
          <c:txPr>
            <a:bodyPr rot="0" spcFirstLastPara="1" vertOverflow="ellipsis" vert="horz" wrap="square" anchor="ctr" anchorCtr="1"/>
            <a:lstStyle/>
            <a:p>
              <a:pPr>
                <a:defRPr sz="1050" b="1" i="0" u="none" strike="noStrike" kern="1200" baseline="0">
                  <a:solidFill>
                    <a:srgbClr val="2F80ED"/>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crossAx val="1448521680"/>
        <c:crosses val="autoZero"/>
        <c:auto val="1"/>
        <c:lblAlgn val="ctr"/>
        <c:lblOffset val="100"/>
        <c:noMultiLvlLbl val="0"/>
      </c:catAx>
      <c:valAx>
        <c:axId val="1448521680"/>
        <c:scaling>
          <c:orientation val="minMax"/>
        </c:scaling>
        <c:delete val="1"/>
        <c:axPos val="l"/>
        <c:numFmt formatCode="0%" sourceLinked="1"/>
        <c:majorTickMark val="out"/>
        <c:minorTickMark val="none"/>
        <c:tickLblPos val="nextTo"/>
        <c:crossAx val="1448521200"/>
        <c:crosses val="autoZero"/>
        <c:crossBetween val="between"/>
      </c:valAx>
      <c:spPr>
        <a:noFill/>
        <a:ln>
          <a:noFill/>
        </a:ln>
        <a:effectLst/>
      </c:spPr>
    </c:plotArea>
    <c:legend>
      <c:legendPos val="r"/>
      <c:layout>
        <c:manualLayout>
          <c:xMode val="edge"/>
          <c:yMode val="edge"/>
          <c:x val="0.20749424006886602"/>
          <c:y val="9.9407828651048247E-2"/>
          <c:w val="0.64781122616907616"/>
          <c:h val="9.645183240983766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Dashboard.xlsx]Pivots!rep satisfication</c:name>
    <c:fmtId val="15"/>
  </c:pivotSource>
  <c:chart>
    <c:title>
      <c:tx>
        <c:rich>
          <a:bodyPr rot="0" spcFirstLastPara="1" vertOverflow="ellipsis" vert="horz" wrap="square" anchor="ctr" anchorCtr="1"/>
          <a:lstStyle/>
          <a:p>
            <a:pPr>
              <a:defRPr sz="1400" b="1" i="0" u="none" strike="noStrike" kern="1200" spc="0" baseline="0">
                <a:solidFill>
                  <a:srgbClr val="0070C0"/>
                </a:solidFill>
                <a:latin typeface="+mj-lt"/>
                <a:ea typeface="+mn-ea"/>
                <a:cs typeface="+mn-cs"/>
              </a:defRPr>
            </a:pPr>
            <a:r>
              <a:rPr lang="en-US" b="1">
                <a:solidFill>
                  <a:srgbClr val="0070C0"/>
                </a:solidFill>
                <a:latin typeface="+mj-lt"/>
              </a:rPr>
              <a:t>Rating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70C0"/>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Pivots!$B$69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Pivots!$A$70:$A$75</c:f>
              <c:strCache>
                <c:ptCount val="5"/>
                <c:pt idx="0">
                  <c:v>1</c:v>
                </c:pt>
                <c:pt idx="1">
                  <c:v>2</c:v>
                </c:pt>
                <c:pt idx="2">
                  <c:v>3</c:v>
                </c:pt>
                <c:pt idx="3">
                  <c:v>4</c:v>
                </c:pt>
                <c:pt idx="4">
                  <c:v>5</c:v>
                </c:pt>
              </c:strCache>
            </c:strRef>
          </c:cat>
          <c:val>
            <c:numRef>
              <c:f>Pivots!$B$70:$B$75</c:f>
              <c:numCache>
                <c:formatCode>#,##0</c:formatCode>
                <c:ptCount val="5"/>
                <c:pt idx="0">
                  <c:v>3</c:v>
                </c:pt>
                <c:pt idx="1">
                  <c:v>19</c:v>
                </c:pt>
                <c:pt idx="2">
                  <c:v>35</c:v>
                </c:pt>
                <c:pt idx="3">
                  <c:v>87</c:v>
                </c:pt>
                <c:pt idx="4">
                  <c:v>74</c:v>
                </c:pt>
              </c:numCache>
            </c:numRef>
          </c:val>
          <c:extLst>
            <c:ext xmlns:c16="http://schemas.microsoft.com/office/drawing/2014/chart" uri="{C3380CC4-5D6E-409C-BE32-E72D297353CC}">
              <c16:uniqueId val="{00000000-3703-44E6-AAC3-7CE0C3954622}"/>
            </c:ext>
          </c:extLst>
        </c:ser>
        <c:dLbls>
          <c:dLblPos val="outEnd"/>
          <c:showLegendKey val="0"/>
          <c:showVal val="1"/>
          <c:showCatName val="0"/>
          <c:showSerName val="0"/>
          <c:showPercent val="0"/>
          <c:showBubbleSize val="0"/>
        </c:dLbls>
        <c:gapWidth val="10"/>
        <c:overlap val="-27"/>
        <c:axId val="1358140432"/>
        <c:axId val="1358129392"/>
      </c:barChart>
      <c:catAx>
        <c:axId val="1358140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58129392"/>
        <c:crosses val="autoZero"/>
        <c:auto val="1"/>
        <c:lblAlgn val="ctr"/>
        <c:lblOffset val="100"/>
        <c:noMultiLvlLbl val="0"/>
      </c:catAx>
      <c:valAx>
        <c:axId val="1358129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14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20.svg"/><Relationship Id="rId13" Type="http://schemas.openxmlformats.org/officeDocument/2006/relationships/chart" Target="../charts/chart3.xml"/><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chart" Target="../charts/chart2.xml"/><Relationship Id="rId2" Type="http://schemas.openxmlformats.org/officeDocument/2006/relationships/image" Target="../media/image14.svg"/><Relationship Id="rId16" Type="http://schemas.openxmlformats.org/officeDocument/2006/relationships/chart" Target="../charts/chart6.xml"/><Relationship Id="rId1" Type="http://schemas.openxmlformats.org/officeDocument/2006/relationships/image" Target="../media/image13.png"/><Relationship Id="rId6" Type="http://schemas.openxmlformats.org/officeDocument/2006/relationships/image" Target="../media/image18.svg"/><Relationship Id="rId11" Type="http://schemas.openxmlformats.org/officeDocument/2006/relationships/chart" Target="../charts/chart1.xml"/><Relationship Id="rId5" Type="http://schemas.openxmlformats.org/officeDocument/2006/relationships/image" Target="../media/image17.png"/><Relationship Id="rId15" Type="http://schemas.openxmlformats.org/officeDocument/2006/relationships/chart" Target="../charts/chart5.xml"/><Relationship Id="rId10" Type="http://schemas.openxmlformats.org/officeDocument/2006/relationships/image" Target="../media/image22.svg"/><Relationship Id="rId4" Type="http://schemas.openxmlformats.org/officeDocument/2006/relationships/image" Target="../media/image16.svg"/><Relationship Id="rId9" Type="http://schemas.openxmlformats.org/officeDocument/2006/relationships/image" Target="../media/image21.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66675</xdr:colOff>
      <xdr:row>2</xdr:row>
      <xdr:rowOff>88050</xdr:rowOff>
    </xdr:from>
    <xdr:to>
      <xdr:col>1</xdr:col>
      <xdr:colOff>476325</xdr:colOff>
      <xdr:row>2</xdr:row>
      <xdr:rowOff>488175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33425" y="450000"/>
          <a:ext cx="409650" cy="400125"/>
        </a:xfrm>
        <a:prstGeom prst="rect">
          <a:avLst/>
        </a:prstGeom>
      </xdr:spPr>
    </xdr:pic>
    <xdr:clientData/>
  </xdr:twoCellAnchor>
  <xdr:twoCellAnchor editAs="oneCell">
    <xdr:from>
      <xdr:col>1</xdr:col>
      <xdr:colOff>19879</xdr:colOff>
      <xdr:row>13</xdr:row>
      <xdr:rowOff>161850</xdr:rowOff>
    </xdr:from>
    <xdr:to>
      <xdr:col>1</xdr:col>
      <xdr:colOff>429529</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9114" y="3236354"/>
          <a:ext cx="409650" cy="394742"/>
        </a:xfrm>
        <a:prstGeom prst="rect">
          <a:avLst/>
        </a:prstGeom>
      </xdr:spPr>
    </xdr:pic>
    <xdr:clientData/>
  </xdr:twoCellAnchor>
  <xdr:twoCellAnchor editAs="oneCell">
    <xdr:from>
      <xdr:col>1</xdr:col>
      <xdr:colOff>0</xdr:colOff>
      <xdr:row>4</xdr:row>
      <xdr:rowOff>99356</xdr:rowOff>
    </xdr:from>
    <xdr:to>
      <xdr:col>1</xdr:col>
      <xdr:colOff>409650</xdr:colOff>
      <xdr:row>4</xdr:row>
      <xdr:rowOff>507885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66750" y="2890181"/>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2</xdr:row>
      <xdr:rowOff>152400</xdr:rowOff>
    </xdr:from>
    <xdr:to>
      <xdr:col>3</xdr:col>
      <xdr:colOff>15240</xdr:colOff>
      <xdr:row>7</xdr:row>
      <xdr:rowOff>152400</xdr:rowOff>
    </xdr:to>
    <xdr:sp macro="" textlink="Pivots!A4">
      <xdr:nvSpPr>
        <xdr:cNvPr id="2" name="Rectangle 1">
          <a:extLst>
            <a:ext uri="{FF2B5EF4-FFF2-40B4-BE49-F238E27FC236}">
              <a16:creationId xmlns:a16="http://schemas.microsoft.com/office/drawing/2014/main" id="{EBB254FD-20CD-E3C9-9DEF-C86FD8B68F24}"/>
            </a:ext>
          </a:extLst>
        </xdr:cNvPr>
        <xdr:cNvSpPr/>
      </xdr:nvSpPr>
      <xdr:spPr>
        <a:xfrm>
          <a:off x="308610" y="518160"/>
          <a:ext cx="1337310" cy="914400"/>
        </a:xfrm>
        <a:prstGeom prst="rect">
          <a:avLst/>
        </a:prstGeom>
        <a:solidFill>
          <a:schemeClr val="bg1"/>
        </a:solidFill>
        <a:ln>
          <a:solidFill>
            <a:srgbClr val="E0E0E0"/>
          </a:solidFill>
        </a:ln>
        <a:effectLst>
          <a:outerShdw blurRad="127000" dist="101600" dir="3600000" algn="t" rotWithShape="0">
            <a:prstClr val="black">
              <a:alpha val="26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ctr"/>
        <a:lstStyle/>
        <a:p>
          <a:pPr algn="ctr"/>
          <a:r>
            <a:rPr lang="en-US" sz="2000" b="1">
              <a:solidFill>
                <a:srgbClr val="2C3E50"/>
              </a:solidFill>
              <a:latin typeface="+mj-lt"/>
            </a:rPr>
            <a:t>1000</a:t>
          </a:r>
        </a:p>
      </xdr:txBody>
    </xdr:sp>
    <xdr:clientData/>
  </xdr:twoCellAnchor>
  <xdr:twoCellAnchor>
    <xdr:from>
      <xdr:col>1</xdr:col>
      <xdr:colOff>251460</xdr:colOff>
      <xdr:row>3</xdr:row>
      <xdr:rowOff>83820</xdr:rowOff>
    </xdr:from>
    <xdr:to>
      <xdr:col>2</xdr:col>
      <xdr:colOff>419100</xdr:colOff>
      <xdr:row>4</xdr:row>
      <xdr:rowOff>30480</xdr:rowOff>
    </xdr:to>
    <xdr:sp macro="" textlink="">
      <xdr:nvSpPr>
        <xdr:cNvPr id="4" name="TextBox 3">
          <a:extLst>
            <a:ext uri="{FF2B5EF4-FFF2-40B4-BE49-F238E27FC236}">
              <a16:creationId xmlns:a16="http://schemas.microsoft.com/office/drawing/2014/main" id="{098FB6AA-9581-02CB-2F99-EEDC99803693}"/>
            </a:ext>
          </a:extLst>
        </xdr:cNvPr>
        <xdr:cNvSpPr txBox="1"/>
      </xdr:nvSpPr>
      <xdr:spPr>
        <a:xfrm>
          <a:off x="541020" y="632460"/>
          <a:ext cx="838200" cy="129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2F80ED"/>
              </a:solidFill>
              <a:latin typeface="+mj-lt"/>
              <a:ea typeface="Calibri" panose="020F0502020204030204" pitchFamily="34" charset="0"/>
              <a:cs typeface="Calibri" panose="020F0502020204030204" pitchFamily="34" charset="0"/>
            </a:rPr>
            <a:t>Calls</a:t>
          </a:r>
        </a:p>
      </xdr:txBody>
    </xdr:sp>
    <xdr:clientData/>
  </xdr:twoCellAnchor>
  <xdr:twoCellAnchor editAs="oneCell">
    <xdr:from>
      <xdr:col>1</xdr:col>
      <xdr:colOff>83819</xdr:colOff>
      <xdr:row>3</xdr:row>
      <xdr:rowOff>45721</xdr:rowOff>
    </xdr:from>
    <xdr:to>
      <xdr:col>1</xdr:col>
      <xdr:colOff>289559</xdr:colOff>
      <xdr:row>4</xdr:row>
      <xdr:rowOff>63590</xdr:rowOff>
    </xdr:to>
    <xdr:pic>
      <xdr:nvPicPr>
        <xdr:cNvPr id="5" name="Graphic 4" descr="Receiver with solid fill">
          <a:extLst>
            <a:ext uri="{FF2B5EF4-FFF2-40B4-BE49-F238E27FC236}">
              <a16:creationId xmlns:a16="http://schemas.microsoft.com/office/drawing/2014/main" id="{B7507EBC-46C8-4AFD-9A78-0F7B43FC9D1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301211">
          <a:off x="373379" y="594361"/>
          <a:ext cx="205740" cy="200749"/>
        </a:xfrm>
        <a:prstGeom prst="rect">
          <a:avLst/>
        </a:prstGeom>
      </xdr:spPr>
    </xdr:pic>
    <xdr:clientData/>
  </xdr:twoCellAnchor>
  <xdr:twoCellAnchor>
    <xdr:from>
      <xdr:col>1</xdr:col>
      <xdr:colOff>228600</xdr:colOff>
      <xdr:row>6</xdr:row>
      <xdr:rowOff>167640</xdr:rowOff>
    </xdr:from>
    <xdr:to>
      <xdr:col>2</xdr:col>
      <xdr:colOff>502920</xdr:colOff>
      <xdr:row>7</xdr:row>
      <xdr:rowOff>144780</xdr:rowOff>
    </xdr:to>
    <xdr:sp macro="" textlink="Pivots!A10">
      <xdr:nvSpPr>
        <xdr:cNvPr id="6" name="TextBox 5">
          <a:extLst>
            <a:ext uri="{FF2B5EF4-FFF2-40B4-BE49-F238E27FC236}">
              <a16:creationId xmlns:a16="http://schemas.microsoft.com/office/drawing/2014/main" id="{1466C77B-79E5-D07D-9C2D-2D2AE5F2D2FE}"/>
            </a:ext>
          </a:extLst>
        </xdr:cNvPr>
        <xdr:cNvSpPr txBox="1"/>
      </xdr:nvSpPr>
      <xdr:spPr>
        <a:xfrm>
          <a:off x="518160" y="1264920"/>
          <a:ext cx="94488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27AE60"/>
              </a:solidFill>
            </a:rPr>
            <a:t>218</a:t>
          </a:r>
        </a:p>
      </xdr:txBody>
    </xdr:sp>
    <xdr:clientData/>
  </xdr:twoCellAnchor>
  <xdr:twoCellAnchor>
    <xdr:from>
      <xdr:col>0</xdr:col>
      <xdr:colOff>266699</xdr:colOff>
      <xdr:row>2</xdr:row>
      <xdr:rowOff>175260</xdr:rowOff>
    </xdr:from>
    <xdr:to>
      <xdr:col>1</xdr:col>
      <xdr:colOff>22858</xdr:colOff>
      <xdr:row>7</xdr:row>
      <xdr:rowOff>175260</xdr:rowOff>
    </xdr:to>
    <xdr:sp macro="" textlink="">
      <xdr:nvSpPr>
        <xdr:cNvPr id="23" name="Rectangle 22">
          <a:extLst>
            <a:ext uri="{FF2B5EF4-FFF2-40B4-BE49-F238E27FC236}">
              <a16:creationId xmlns:a16="http://schemas.microsoft.com/office/drawing/2014/main" id="{FA03CD90-B5E0-007A-EE48-0DFF0B5E6594}"/>
            </a:ext>
          </a:extLst>
        </xdr:cNvPr>
        <xdr:cNvSpPr/>
      </xdr:nvSpPr>
      <xdr:spPr>
        <a:xfrm>
          <a:off x="266699" y="541020"/>
          <a:ext cx="45719" cy="914400"/>
        </a:xfrm>
        <a:prstGeom prst="rect">
          <a:avLst/>
        </a:prstGeom>
        <a:solidFill>
          <a:srgbClr val="2F80E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41911</xdr:colOff>
      <xdr:row>10</xdr:row>
      <xdr:rowOff>0</xdr:rowOff>
    </xdr:from>
    <xdr:to>
      <xdr:col>3</xdr:col>
      <xdr:colOff>38101</xdr:colOff>
      <xdr:row>15</xdr:row>
      <xdr:rowOff>0</xdr:rowOff>
    </xdr:to>
    <xdr:sp macro="" textlink="Pivots!B4">
      <xdr:nvSpPr>
        <xdr:cNvPr id="64" name="Rectangle 63">
          <a:extLst>
            <a:ext uri="{FF2B5EF4-FFF2-40B4-BE49-F238E27FC236}">
              <a16:creationId xmlns:a16="http://schemas.microsoft.com/office/drawing/2014/main" id="{6D359CEB-3671-474D-8899-F456051FC459}"/>
            </a:ext>
          </a:extLst>
        </xdr:cNvPr>
        <xdr:cNvSpPr/>
      </xdr:nvSpPr>
      <xdr:spPr>
        <a:xfrm>
          <a:off x="331471" y="1828800"/>
          <a:ext cx="1337310" cy="914400"/>
        </a:xfrm>
        <a:prstGeom prst="rect">
          <a:avLst/>
        </a:prstGeom>
        <a:solidFill>
          <a:schemeClr val="bg1"/>
        </a:solidFill>
        <a:ln>
          <a:solidFill>
            <a:srgbClr val="E0E0E0"/>
          </a:solidFill>
        </a:ln>
        <a:effectLst>
          <a:outerShdw blurRad="127000" dist="101600" dir="3600000" algn="t" rotWithShape="0">
            <a:prstClr val="black">
              <a:alpha val="26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ctr"/>
        <a:lstStyle/>
        <a:p>
          <a:pPr marL="0" indent="0" algn="ctr"/>
          <a:fld id="{4563368A-5F32-4973-95DE-AF197E2E67B1}" type="TxLink">
            <a:rPr lang="en-US" sz="2000" b="1">
              <a:solidFill>
                <a:srgbClr val="2C3E50"/>
              </a:solidFill>
              <a:latin typeface="+mj-lt"/>
              <a:ea typeface="+mn-ea"/>
              <a:cs typeface="+mn-cs"/>
            </a:rPr>
            <a:pPr marL="0" indent="0" algn="ctr"/>
            <a:t>$96,623</a:t>
          </a:fld>
          <a:endParaRPr lang="en-US" sz="2000" b="1">
            <a:solidFill>
              <a:srgbClr val="2C3E50"/>
            </a:solidFill>
            <a:latin typeface="+mj-lt"/>
            <a:ea typeface="+mn-ea"/>
            <a:cs typeface="+mn-cs"/>
          </a:endParaRPr>
        </a:p>
      </xdr:txBody>
    </xdr:sp>
    <xdr:clientData/>
  </xdr:twoCellAnchor>
  <xdr:twoCellAnchor>
    <xdr:from>
      <xdr:col>1</xdr:col>
      <xdr:colOff>304801</xdr:colOff>
      <xdr:row>10</xdr:row>
      <xdr:rowOff>38100</xdr:rowOff>
    </xdr:from>
    <xdr:to>
      <xdr:col>2</xdr:col>
      <xdr:colOff>472441</xdr:colOff>
      <xdr:row>11</xdr:row>
      <xdr:rowOff>68580</xdr:rowOff>
    </xdr:to>
    <xdr:sp macro="" textlink="">
      <xdr:nvSpPr>
        <xdr:cNvPr id="65" name="TextBox 64">
          <a:extLst>
            <a:ext uri="{FF2B5EF4-FFF2-40B4-BE49-F238E27FC236}">
              <a16:creationId xmlns:a16="http://schemas.microsoft.com/office/drawing/2014/main" id="{845D6FA0-010E-4B30-9F68-D9AAFA11FED8}"/>
            </a:ext>
          </a:extLst>
        </xdr:cNvPr>
        <xdr:cNvSpPr txBox="1"/>
      </xdr:nvSpPr>
      <xdr:spPr>
        <a:xfrm>
          <a:off x="594361" y="2225040"/>
          <a:ext cx="8382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2F80ED"/>
              </a:solidFill>
              <a:latin typeface="+mj-lt"/>
              <a:ea typeface="Calibri" panose="020F0502020204030204" pitchFamily="34" charset="0"/>
              <a:cs typeface="Calibri" panose="020F0502020204030204" pitchFamily="34" charset="0"/>
            </a:rPr>
            <a:t>Amount</a:t>
          </a:r>
        </a:p>
      </xdr:txBody>
    </xdr:sp>
    <xdr:clientData/>
  </xdr:twoCellAnchor>
  <xdr:twoCellAnchor>
    <xdr:from>
      <xdr:col>1</xdr:col>
      <xdr:colOff>251461</xdr:colOff>
      <xdr:row>14</xdr:row>
      <xdr:rowOff>15240</xdr:rowOff>
    </xdr:from>
    <xdr:to>
      <xdr:col>2</xdr:col>
      <xdr:colOff>525781</xdr:colOff>
      <xdr:row>14</xdr:row>
      <xdr:rowOff>175260</xdr:rowOff>
    </xdr:to>
    <xdr:sp macro="" textlink="Pivots!B10">
      <xdr:nvSpPr>
        <xdr:cNvPr id="67" name="TextBox 66">
          <a:extLst>
            <a:ext uri="{FF2B5EF4-FFF2-40B4-BE49-F238E27FC236}">
              <a16:creationId xmlns:a16="http://schemas.microsoft.com/office/drawing/2014/main" id="{F560B631-E302-4139-A322-DFE69833569F}"/>
            </a:ext>
          </a:extLst>
        </xdr:cNvPr>
        <xdr:cNvSpPr txBox="1"/>
      </xdr:nvSpPr>
      <xdr:spPr>
        <a:xfrm>
          <a:off x="541021" y="2575560"/>
          <a:ext cx="94488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0797D9-EA3C-49B9-AAA1-9152EF114BF4}" type="TxLink">
            <a:rPr lang="en-US" sz="1100" b="0" i="0" u="none" strike="noStrike">
              <a:solidFill>
                <a:srgbClr val="27AE60"/>
              </a:solidFill>
              <a:latin typeface="+mn-lt"/>
            </a:rPr>
            <a:pPr algn="ctr"/>
            <a:t>$20,581</a:t>
          </a:fld>
          <a:endParaRPr lang="en-US" sz="1100">
            <a:solidFill>
              <a:srgbClr val="27AE60"/>
            </a:solidFill>
            <a:latin typeface="+mn-lt"/>
          </a:endParaRPr>
        </a:p>
      </xdr:txBody>
    </xdr:sp>
    <xdr:clientData/>
  </xdr:twoCellAnchor>
  <xdr:twoCellAnchor>
    <xdr:from>
      <xdr:col>1</xdr:col>
      <xdr:colOff>0</xdr:colOff>
      <xdr:row>10</xdr:row>
      <xdr:rowOff>22860</xdr:rowOff>
    </xdr:from>
    <xdr:to>
      <xdr:col>1</xdr:col>
      <xdr:colOff>45719</xdr:colOff>
      <xdr:row>15</xdr:row>
      <xdr:rowOff>22860</xdr:rowOff>
    </xdr:to>
    <xdr:sp macro="" textlink="">
      <xdr:nvSpPr>
        <xdr:cNvPr id="68" name="Rectangle 67">
          <a:extLst>
            <a:ext uri="{FF2B5EF4-FFF2-40B4-BE49-F238E27FC236}">
              <a16:creationId xmlns:a16="http://schemas.microsoft.com/office/drawing/2014/main" id="{638BB6F8-A0FA-4BA7-88B9-0389F56F7D43}"/>
            </a:ext>
          </a:extLst>
        </xdr:cNvPr>
        <xdr:cNvSpPr/>
      </xdr:nvSpPr>
      <xdr:spPr>
        <a:xfrm>
          <a:off x="289560" y="1851660"/>
          <a:ext cx="45719" cy="914400"/>
        </a:xfrm>
        <a:prstGeom prst="rect">
          <a:avLst/>
        </a:prstGeom>
        <a:solidFill>
          <a:srgbClr val="2F80E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41911</xdr:colOff>
      <xdr:row>17</xdr:row>
      <xdr:rowOff>22860</xdr:rowOff>
    </xdr:from>
    <xdr:to>
      <xdr:col>3</xdr:col>
      <xdr:colOff>38101</xdr:colOff>
      <xdr:row>22</xdr:row>
      <xdr:rowOff>22860</xdr:rowOff>
    </xdr:to>
    <xdr:sp macro="" textlink="Pivots!C4">
      <xdr:nvSpPr>
        <xdr:cNvPr id="69" name="Rectangle 68">
          <a:extLst>
            <a:ext uri="{FF2B5EF4-FFF2-40B4-BE49-F238E27FC236}">
              <a16:creationId xmlns:a16="http://schemas.microsoft.com/office/drawing/2014/main" id="{7A5EA69B-D3BD-4646-A1C8-B824B783C50E}"/>
            </a:ext>
          </a:extLst>
        </xdr:cNvPr>
        <xdr:cNvSpPr/>
      </xdr:nvSpPr>
      <xdr:spPr>
        <a:xfrm>
          <a:off x="331471" y="3489960"/>
          <a:ext cx="1337310" cy="914400"/>
        </a:xfrm>
        <a:prstGeom prst="rect">
          <a:avLst/>
        </a:prstGeom>
        <a:solidFill>
          <a:schemeClr val="bg1"/>
        </a:solidFill>
        <a:ln>
          <a:solidFill>
            <a:srgbClr val="E0E0E0"/>
          </a:solidFill>
        </a:ln>
        <a:effectLst>
          <a:outerShdw blurRad="127000" dist="101600" dir="3600000" algn="t" rotWithShape="0">
            <a:prstClr val="black">
              <a:alpha val="26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ctr"/>
        <a:lstStyle/>
        <a:p>
          <a:pPr marL="0" indent="0" algn="ctr"/>
          <a:fld id="{368AE4E5-8B61-4F5D-A1AA-8399469B1DFE}" type="TxLink">
            <a:rPr lang="en-US" sz="2000" b="1">
              <a:solidFill>
                <a:srgbClr val="2C3E50"/>
              </a:solidFill>
              <a:latin typeface="+mj-lt"/>
              <a:ea typeface="+mn-ea"/>
              <a:cs typeface="+mn-cs"/>
            </a:rPr>
            <a:pPr marL="0" indent="0" algn="ctr"/>
            <a:t>89,850</a:t>
          </a:fld>
          <a:endParaRPr lang="en-US" sz="2000" b="1">
            <a:solidFill>
              <a:srgbClr val="2C3E50"/>
            </a:solidFill>
            <a:latin typeface="+mj-lt"/>
            <a:ea typeface="+mn-ea"/>
            <a:cs typeface="+mn-cs"/>
          </a:endParaRPr>
        </a:p>
      </xdr:txBody>
    </xdr:sp>
    <xdr:clientData/>
  </xdr:twoCellAnchor>
  <xdr:twoCellAnchor>
    <xdr:from>
      <xdr:col>1</xdr:col>
      <xdr:colOff>274321</xdr:colOff>
      <xdr:row>17</xdr:row>
      <xdr:rowOff>114300</xdr:rowOff>
    </xdr:from>
    <xdr:to>
      <xdr:col>2</xdr:col>
      <xdr:colOff>441961</xdr:colOff>
      <xdr:row>18</xdr:row>
      <xdr:rowOff>60960</xdr:rowOff>
    </xdr:to>
    <xdr:sp macro="" textlink="">
      <xdr:nvSpPr>
        <xdr:cNvPr id="70" name="TextBox 69">
          <a:extLst>
            <a:ext uri="{FF2B5EF4-FFF2-40B4-BE49-F238E27FC236}">
              <a16:creationId xmlns:a16="http://schemas.microsoft.com/office/drawing/2014/main" id="{61C30201-1B05-4AE8-8506-76C25312E699}"/>
            </a:ext>
          </a:extLst>
        </xdr:cNvPr>
        <xdr:cNvSpPr txBox="1"/>
      </xdr:nvSpPr>
      <xdr:spPr>
        <a:xfrm>
          <a:off x="563881" y="3223260"/>
          <a:ext cx="838200" cy="129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2F80ED"/>
              </a:solidFill>
              <a:latin typeface="Calibri" panose="020F0502020204030204" pitchFamily="34" charset="0"/>
              <a:ea typeface="Calibri" panose="020F0502020204030204" pitchFamily="34" charset="0"/>
              <a:cs typeface="Calibri" panose="020F0502020204030204" pitchFamily="34" charset="0"/>
            </a:rPr>
            <a:t>Call</a:t>
          </a:r>
          <a:r>
            <a:rPr lang="en-US" sz="1200" b="1" baseline="0">
              <a:solidFill>
                <a:srgbClr val="2F80ED"/>
              </a:solidFill>
              <a:latin typeface="Calibri" panose="020F0502020204030204" pitchFamily="34" charset="0"/>
              <a:ea typeface="Calibri" panose="020F0502020204030204" pitchFamily="34" charset="0"/>
              <a:cs typeface="Calibri" panose="020F0502020204030204" pitchFamily="34" charset="0"/>
            </a:rPr>
            <a:t> Time</a:t>
          </a:r>
        </a:p>
      </xdr:txBody>
    </xdr:sp>
    <xdr:clientData/>
  </xdr:twoCellAnchor>
  <xdr:twoCellAnchor>
    <xdr:from>
      <xdr:col>1</xdr:col>
      <xdr:colOff>274321</xdr:colOff>
      <xdr:row>21</xdr:row>
      <xdr:rowOff>15240</xdr:rowOff>
    </xdr:from>
    <xdr:to>
      <xdr:col>2</xdr:col>
      <xdr:colOff>548641</xdr:colOff>
      <xdr:row>21</xdr:row>
      <xdr:rowOff>175260</xdr:rowOff>
    </xdr:to>
    <xdr:sp macro="" textlink="Pivots!C10">
      <xdr:nvSpPr>
        <xdr:cNvPr id="72" name="TextBox 71">
          <a:extLst>
            <a:ext uri="{FF2B5EF4-FFF2-40B4-BE49-F238E27FC236}">
              <a16:creationId xmlns:a16="http://schemas.microsoft.com/office/drawing/2014/main" id="{973FB9E2-293C-427C-A2C7-6E972BAB631C}"/>
            </a:ext>
          </a:extLst>
        </xdr:cNvPr>
        <xdr:cNvSpPr txBox="1"/>
      </xdr:nvSpPr>
      <xdr:spPr>
        <a:xfrm>
          <a:off x="563881" y="3855720"/>
          <a:ext cx="94488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607A4F-D1B3-40D7-B7B7-465968EBE924}" type="TxLink">
            <a:rPr lang="en-US" sz="1100" b="0" i="0" u="none" strike="noStrike">
              <a:solidFill>
                <a:srgbClr val="27AE60"/>
              </a:solidFill>
              <a:latin typeface="+mn-lt"/>
            </a:rPr>
            <a:pPr algn="ctr"/>
            <a:t>19,300</a:t>
          </a:fld>
          <a:endParaRPr lang="en-US" sz="1100">
            <a:solidFill>
              <a:srgbClr val="27AE60"/>
            </a:solidFill>
            <a:latin typeface="+mn-lt"/>
          </a:endParaRPr>
        </a:p>
      </xdr:txBody>
    </xdr:sp>
    <xdr:clientData/>
  </xdr:twoCellAnchor>
  <xdr:twoCellAnchor>
    <xdr:from>
      <xdr:col>1</xdr:col>
      <xdr:colOff>0</xdr:colOff>
      <xdr:row>17</xdr:row>
      <xdr:rowOff>22860</xdr:rowOff>
    </xdr:from>
    <xdr:to>
      <xdr:col>1</xdr:col>
      <xdr:colOff>45719</xdr:colOff>
      <xdr:row>22</xdr:row>
      <xdr:rowOff>22860</xdr:rowOff>
    </xdr:to>
    <xdr:sp macro="" textlink="">
      <xdr:nvSpPr>
        <xdr:cNvPr id="73" name="Rectangle 72">
          <a:extLst>
            <a:ext uri="{FF2B5EF4-FFF2-40B4-BE49-F238E27FC236}">
              <a16:creationId xmlns:a16="http://schemas.microsoft.com/office/drawing/2014/main" id="{A0AB9ED7-0C05-423C-87ED-B5FCBAEAE269}"/>
            </a:ext>
          </a:extLst>
        </xdr:cNvPr>
        <xdr:cNvSpPr/>
      </xdr:nvSpPr>
      <xdr:spPr>
        <a:xfrm>
          <a:off x="289560" y="3131820"/>
          <a:ext cx="45719" cy="914400"/>
        </a:xfrm>
        <a:prstGeom prst="rect">
          <a:avLst/>
        </a:prstGeom>
        <a:solidFill>
          <a:srgbClr val="2F80E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41911</xdr:colOff>
      <xdr:row>24</xdr:row>
      <xdr:rowOff>0</xdr:rowOff>
    </xdr:from>
    <xdr:to>
      <xdr:col>3</xdr:col>
      <xdr:colOff>38101</xdr:colOff>
      <xdr:row>29</xdr:row>
      <xdr:rowOff>0</xdr:rowOff>
    </xdr:to>
    <xdr:sp macro="" textlink="Pivots!D4">
      <xdr:nvSpPr>
        <xdr:cNvPr id="74" name="Rectangle 73">
          <a:extLst>
            <a:ext uri="{FF2B5EF4-FFF2-40B4-BE49-F238E27FC236}">
              <a16:creationId xmlns:a16="http://schemas.microsoft.com/office/drawing/2014/main" id="{19C2FD2B-1DE1-45EB-A667-CB86C823F14B}"/>
            </a:ext>
          </a:extLst>
        </xdr:cNvPr>
        <xdr:cNvSpPr/>
      </xdr:nvSpPr>
      <xdr:spPr>
        <a:xfrm>
          <a:off x="331471" y="4389120"/>
          <a:ext cx="1337310" cy="914400"/>
        </a:xfrm>
        <a:prstGeom prst="rect">
          <a:avLst/>
        </a:prstGeom>
        <a:solidFill>
          <a:schemeClr val="bg1"/>
        </a:solidFill>
        <a:ln>
          <a:solidFill>
            <a:srgbClr val="E0E0E0"/>
          </a:solidFill>
        </a:ln>
        <a:effectLst>
          <a:outerShdw blurRad="127000" dist="101600" dir="3600000" algn="t" rotWithShape="0">
            <a:prstClr val="black">
              <a:alpha val="26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ctr"/>
        <a:lstStyle/>
        <a:p>
          <a:pPr marL="0" indent="0" algn="ctr"/>
          <a:fld id="{EF9B88D9-2424-4962-93F7-65ADF4AA9982}" type="TxLink">
            <a:rPr lang="en-US" sz="2000" b="1">
              <a:solidFill>
                <a:srgbClr val="2C3E50"/>
              </a:solidFill>
              <a:latin typeface="+mj-lt"/>
              <a:ea typeface="+mn-ea"/>
              <a:cs typeface="+mn-cs"/>
            </a:rPr>
            <a:pPr marL="0" indent="0" algn="ctr"/>
            <a:t>3.9</a:t>
          </a:fld>
          <a:endParaRPr lang="en-US" sz="2000" b="1">
            <a:solidFill>
              <a:srgbClr val="2C3E50"/>
            </a:solidFill>
            <a:latin typeface="+mj-lt"/>
            <a:ea typeface="+mn-ea"/>
            <a:cs typeface="+mn-cs"/>
          </a:endParaRPr>
        </a:p>
      </xdr:txBody>
    </xdr:sp>
    <xdr:clientData/>
  </xdr:twoCellAnchor>
  <xdr:twoCellAnchor>
    <xdr:from>
      <xdr:col>1</xdr:col>
      <xdr:colOff>373381</xdr:colOff>
      <xdr:row>24</xdr:row>
      <xdr:rowOff>91440</xdr:rowOff>
    </xdr:from>
    <xdr:to>
      <xdr:col>2</xdr:col>
      <xdr:colOff>541021</xdr:colOff>
      <xdr:row>25</xdr:row>
      <xdr:rowOff>38100</xdr:rowOff>
    </xdr:to>
    <xdr:sp macro="" textlink="">
      <xdr:nvSpPr>
        <xdr:cNvPr id="75" name="TextBox 74">
          <a:extLst>
            <a:ext uri="{FF2B5EF4-FFF2-40B4-BE49-F238E27FC236}">
              <a16:creationId xmlns:a16="http://schemas.microsoft.com/office/drawing/2014/main" id="{2283A78A-CCE0-41AF-978C-ED10B6DCA339}"/>
            </a:ext>
          </a:extLst>
        </xdr:cNvPr>
        <xdr:cNvSpPr txBox="1"/>
      </xdr:nvSpPr>
      <xdr:spPr>
        <a:xfrm>
          <a:off x="662941" y="4480560"/>
          <a:ext cx="838200" cy="129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2F80ED"/>
              </a:solidFill>
              <a:latin typeface="Calibri" panose="020F0502020204030204" pitchFamily="34" charset="0"/>
              <a:ea typeface="Calibri" panose="020F0502020204030204" pitchFamily="34" charset="0"/>
              <a:cs typeface="Calibri" panose="020F0502020204030204" pitchFamily="34" charset="0"/>
            </a:rPr>
            <a:t>Avg.Rating</a:t>
          </a:r>
        </a:p>
      </xdr:txBody>
    </xdr:sp>
    <xdr:clientData/>
  </xdr:twoCellAnchor>
  <xdr:twoCellAnchor>
    <xdr:from>
      <xdr:col>1</xdr:col>
      <xdr:colOff>251461</xdr:colOff>
      <xdr:row>28</xdr:row>
      <xdr:rowOff>15240</xdr:rowOff>
    </xdr:from>
    <xdr:to>
      <xdr:col>2</xdr:col>
      <xdr:colOff>525781</xdr:colOff>
      <xdr:row>28</xdr:row>
      <xdr:rowOff>175260</xdr:rowOff>
    </xdr:to>
    <xdr:sp macro="" textlink="Pivots!D10">
      <xdr:nvSpPr>
        <xdr:cNvPr id="77" name="TextBox 76">
          <a:extLst>
            <a:ext uri="{FF2B5EF4-FFF2-40B4-BE49-F238E27FC236}">
              <a16:creationId xmlns:a16="http://schemas.microsoft.com/office/drawing/2014/main" id="{EA2C9FAC-DD5D-40DA-A6DB-3B0A10969C73}"/>
            </a:ext>
          </a:extLst>
        </xdr:cNvPr>
        <xdr:cNvSpPr txBox="1"/>
      </xdr:nvSpPr>
      <xdr:spPr>
        <a:xfrm>
          <a:off x="541021" y="5135880"/>
          <a:ext cx="94488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70696F-2BE7-4DF4-9A13-5C9158E525B7}" type="TxLink">
            <a:rPr lang="en-US" sz="1100" b="0" i="0" u="none" strike="noStrike">
              <a:solidFill>
                <a:srgbClr val="27AE60"/>
              </a:solidFill>
              <a:latin typeface="Aptos"/>
            </a:rPr>
            <a:pPr algn="ctr"/>
            <a:t>3.9</a:t>
          </a:fld>
          <a:endParaRPr lang="en-US" sz="1100">
            <a:solidFill>
              <a:srgbClr val="27AE60"/>
            </a:solidFill>
          </a:endParaRPr>
        </a:p>
      </xdr:txBody>
    </xdr:sp>
    <xdr:clientData/>
  </xdr:twoCellAnchor>
  <xdr:twoCellAnchor>
    <xdr:from>
      <xdr:col>1</xdr:col>
      <xdr:colOff>0</xdr:colOff>
      <xdr:row>24</xdr:row>
      <xdr:rowOff>22860</xdr:rowOff>
    </xdr:from>
    <xdr:to>
      <xdr:col>1</xdr:col>
      <xdr:colOff>45719</xdr:colOff>
      <xdr:row>29</xdr:row>
      <xdr:rowOff>22860</xdr:rowOff>
    </xdr:to>
    <xdr:sp macro="" textlink="">
      <xdr:nvSpPr>
        <xdr:cNvPr id="78" name="Rectangle 77">
          <a:extLst>
            <a:ext uri="{FF2B5EF4-FFF2-40B4-BE49-F238E27FC236}">
              <a16:creationId xmlns:a16="http://schemas.microsoft.com/office/drawing/2014/main" id="{3F3CC845-CF93-44B2-8070-3253E805ADE2}"/>
            </a:ext>
          </a:extLst>
        </xdr:cNvPr>
        <xdr:cNvSpPr/>
      </xdr:nvSpPr>
      <xdr:spPr>
        <a:xfrm>
          <a:off x="289560" y="4411980"/>
          <a:ext cx="45719" cy="914400"/>
        </a:xfrm>
        <a:prstGeom prst="rect">
          <a:avLst/>
        </a:prstGeom>
        <a:solidFill>
          <a:srgbClr val="2F80E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83820</xdr:colOff>
      <xdr:row>17</xdr:row>
      <xdr:rowOff>60962</xdr:rowOff>
    </xdr:from>
    <xdr:to>
      <xdr:col>1</xdr:col>
      <xdr:colOff>335280</xdr:colOff>
      <xdr:row>18</xdr:row>
      <xdr:rowOff>102356</xdr:rowOff>
    </xdr:to>
    <xdr:pic>
      <xdr:nvPicPr>
        <xdr:cNvPr id="80" name="Graphic 79" descr="Hourglass Finished with solid fill">
          <a:extLst>
            <a:ext uri="{FF2B5EF4-FFF2-40B4-BE49-F238E27FC236}">
              <a16:creationId xmlns:a16="http://schemas.microsoft.com/office/drawing/2014/main" id="{8148662B-86C8-4EF5-A404-6DB6E491BB0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3380" y="3169922"/>
          <a:ext cx="251460" cy="224274"/>
        </a:xfrm>
        <a:prstGeom prst="rect">
          <a:avLst/>
        </a:prstGeom>
      </xdr:spPr>
    </xdr:pic>
    <xdr:clientData/>
  </xdr:twoCellAnchor>
  <xdr:twoCellAnchor editAs="oneCell">
    <xdr:from>
      <xdr:col>1</xdr:col>
      <xdr:colOff>88459</xdr:colOff>
      <xdr:row>10</xdr:row>
      <xdr:rowOff>69080</xdr:rowOff>
    </xdr:from>
    <xdr:to>
      <xdr:col>1</xdr:col>
      <xdr:colOff>358140</xdr:colOff>
      <xdr:row>11</xdr:row>
      <xdr:rowOff>146067</xdr:rowOff>
    </xdr:to>
    <xdr:pic>
      <xdr:nvPicPr>
        <xdr:cNvPr id="81" name="Graphic 80" descr="Shopping cart with solid fill">
          <a:extLst>
            <a:ext uri="{FF2B5EF4-FFF2-40B4-BE49-F238E27FC236}">
              <a16:creationId xmlns:a16="http://schemas.microsoft.com/office/drawing/2014/main" id="{DDC43D3A-EC0D-4B7A-ABF8-2562B86771E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78019" y="1897880"/>
          <a:ext cx="269681" cy="259867"/>
        </a:xfrm>
        <a:prstGeom prst="rect">
          <a:avLst/>
        </a:prstGeom>
      </xdr:spPr>
    </xdr:pic>
    <xdr:clientData/>
  </xdr:twoCellAnchor>
  <xdr:twoCellAnchor editAs="oneCell">
    <xdr:from>
      <xdr:col>1</xdr:col>
      <xdr:colOff>80009</xdr:colOff>
      <xdr:row>23</xdr:row>
      <xdr:rowOff>155631</xdr:rowOff>
    </xdr:from>
    <xdr:to>
      <xdr:col>1</xdr:col>
      <xdr:colOff>426720</xdr:colOff>
      <xdr:row>25</xdr:row>
      <xdr:rowOff>128207</xdr:rowOff>
    </xdr:to>
    <xdr:pic>
      <xdr:nvPicPr>
        <xdr:cNvPr id="82" name="Graphic 81" descr="Rating Star with solid fill">
          <a:extLst>
            <a:ext uri="{FF2B5EF4-FFF2-40B4-BE49-F238E27FC236}">
              <a16:creationId xmlns:a16="http://schemas.microsoft.com/office/drawing/2014/main" id="{D0B24E38-08E6-4AB4-8CE6-2B803FAC2D3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369569" y="4361871"/>
          <a:ext cx="346711" cy="338336"/>
        </a:xfrm>
        <a:prstGeom prst="rect">
          <a:avLst/>
        </a:prstGeom>
      </xdr:spPr>
    </xdr:pic>
    <xdr:clientData/>
  </xdr:twoCellAnchor>
  <xdr:twoCellAnchor>
    <xdr:from>
      <xdr:col>1</xdr:col>
      <xdr:colOff>41911</xdr:colOff>
      <xdr:row>31</xdr:row>
      <xdr:rowOff>0</xdr:rowOff>
    </xdr:from>
    <xdr:to>
      <xdr:col>3</xdr:col>
      <xdr:colOff>38101</xdr:colOff>
      <xdr:row>36</xdr:row>
      <xdr:rowOff>0</xdr:rowOff>
    </xdr:to>
    <xdr:sp macro="" textlink="Pivots!E4">
      <xdr:nvSpPr>
        <xdr:cNvPr id="104" name="Rectangle 103">
          <a:extLst>
            <a:ext uri="{FF2B5EF4-FFF2-40B4-BE49-F238E27FC236}">
              <a16:creationId xmlns:a16="http://schemas.microsoft.com/office/drawing/2014/main" id="{B715ABDF-0C0F-4F0A-B580-65B841851EC2}"/>
            </a:ext>
          </a:extLst>
        </xdr:cNvPr>
        <xdr:cNvSpPr/>
      </xdr:nvSpPr>
      <xdr:spPr>
        <a:xfrm>
          <a:off x="331471" y="5669280"/>
          <a:ext cx="1337310" cy="914400"/>
        </a:xfrm>
        <a:prstGeom prst="rect">
          <a:avLst/>
        </a:prstGeom>
        <a:solidFill>
          <a:schemeClr val="bg1"/>
        </a:solidFill>
        <a:ln>
          <a:solidFill>
            <a:srgbClr val="E0E0E0"/>
          </a:solidFill>
        </a:ln>
        <a:effectLst>
          <a:outerShdw blurRad="127000" dist="101600" dir="3600000" algn="t" rotWithShape="0">
            <a:prstClr val="black">
              <a:alpha val="26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ctr"/>
        <a:lstStyle/>
        <a:p>
          <a:pPr marL="0" indent="0" algn="ctr"/>
          <a:fld id="{34F3871A-169E-4927-BE8E-5BA50A643DEF}" type="TxLink">
            <a:rPr lang="en-US" sz="2000" b="1">
              <a:solidFill>
                <a:srgbClr val="2C3E50"/>
              </a:solidFill>
              <a:latin typeface="+mj-lt"/>
              <a:ea typeface="+mn-ea"/>
              <a:cs typeface="+mn-cs"/>
            </a:rPr>
            <a:pPr marL="0" indent="0" algn="ctr"/>
            <a:t>307</a:t>
          </a:fld>
          <a:endParaRPr lang="en-US" sz="2000" b="1">
            <a:solidFill>
              <a:srgbClr val="2C3E50"/>
            </a:solidFill>
            <a:latin typeface="+mj-lt"/>
            <a:ea typeface="+mn-ea"/>
            <a:cs typeface="+mn-cs"/>
          </a:endParaRPr>
        </a:p>
      </xdr:txBody>
    </xdr:sp>
    <xdr:clientData/>
  </xdr:twoCellAnchor>
  <xdr:twoCellAnchor>
    <xdr:from>
      <xdr:col>1</xdr:col>
      <xdr:colOff>274320</xdr:colOff>
      <xdr:row>30</xdr:row>
      <xdr:rowOff>160020</xdr:rowOff>
    </xdr:from>
    <xdr:to>
      <xdr:col>2</xdr:col>
      <xdr:colOff>609599</xdr:colOff>
      <xdr:row>32</xdr:row>
      <xdr:rowOff>83820</xdr:rowOff>
    </xdr:to>
    <xdr:sp macro="" textlink="">
      <xdr:nvSpPr>
        <xdr:cNvPr id="105" name="TextBox 104">
          <a:extLst>
            <a:ext uri="{FF2B5EF4-FFF2-40B4-BE49-F238E27FC236}">
              <a16:creationId xmlns:a16="http://schemas.microsoft.com/office/drawing/2014/main" id="{00CB8BE7-2D1B-4C44-82CE-216836CFB313}"/>
            </a:ext>
          </a:extLst>
        </xdr:cNvPr>
        <xdr:cNvSpPr txBox="1"/>
      </xdr:nvSpPr>
      <xdr:spPr>
        <a:xfrm>
          <a:off x="563880" y="5646420"/>
          <a:ext cx="1005839"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2F80ED"/>
              </a:solidFill>
              <a:latin typeface="Calibri" panose="020F0502020204030204" pitchFamily="34" charset="0"/>
              <a:ea typeface="Calibri" panose="020F0502020204030204" pitchFamily="34" charset="0"/>
              <a:cs typeface="Calibri" panose="020F0502020204030204" pitchFamily="34" charset="0"/>
            </a:rPr>
            <a:t>Happy Calls</a:t>
          </a:r>
        </a:p>
      </xdr:txBody>
    </xdr:sp>
    <xdr:clientData/>
  </xdr:twoCellAnchor>
  <xdr:twoCellAnchor>
    <xdr:from>
      <xdr:col>1</xdr:col>
      <xdr:colOff>251461</xdr:colOff>
      <xdr:row>35</xdr:row>
      <xdr:rowOff>15240</xdr:rowOff>
    </xdr:from>
    <xdr:to>
      <xdr:col>2</xdr:col>
      <xdr:colOff>525781</xdr:colOff>
      <xdr:row>35</xdr:row>
      <xdr:rowOff>175260</xdr:rowOff>
    </xdr:to>
    <xdr:sp macro="" textlink="Pivots!E10">
      <xdr:nvSpPr>
        <xdr:cNvPr id="106" name="TextBox 105">
          <a:extLst>
            <a:ext uri="{FF2B5EF4-FFF2-40B4-BE49-F238E27FC236}">
              <a16:creationId xmlns:a16="http://schemas.microsoft.com/office/drawing/2014/main" id="{F469F47D-8C97-4927-BA37-9DF5D9E6870C}"/>
            </a:ext>
          </a:extLst>
        </xdr:cNvPr>
        <xdr:cNvSpPr txBox="1"/>
      </xdr:nvSpPr>
      <xdr:spPr>
        <a:xfrm>
          <a:off x="541021" y="6416040"/>
          <a:ext cx="94488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DAC3FF-5B4C-49BF-BA2F-F362E6415A2D}" type="TxLink">
            <a:rPr lang="en-US" sz="1100" b="0" i="0" u="none" strike="noStrike">
              <a:solidFill>
                <a:srgbClr val="27AE60"/>
              </a:solidFill>
              <a:latin typeface="Aptos"/>
            </a:rPr>
            <a:pPr algn="ctr"/>
            <a:t>74</a:t>
          </a:fld>
          <a:endParaRPr lang="en-US" sz="1100">
            <a:solidFill>
              <a:srgbClr val="27AE60"/>
            </a:solidFill>
          </a:endParaRPr>
        </a:p>
      </xdr:txBody>
    </xdr:sp>
    <xdr:clientData/>
  </xdr:twoCellAnchor>
  <xdr:twoCellAnchor>
    <xdr:from>
      <xdr:col>1</xdr:col>
      <xdr:colOff>0</xdr:colOff>
      <xdr:row>31</xdr:row>
      <xdr:rowOff>22860</xdr:rowOff>
    </xdr:from>
    <xdr:to>
      <xdr:col>1</xdr:col>
      <xdr:colOff>45719</xdr:colOff>
      <xdr:row>36</xdr:row>
      <xdr:rowOff>22860</xdr:rowOff>
    </xdr:to>
    <xdr:sp macro="" textlink="">
      <xdr:nvSpPr>
        <xdr:cNvPr id="107" name="Rectangle 106">
          <a:extLst>
            <a:ext uri="{FF2B5EF4-FFF2-40B4-BE49-F238E27FC236}">
              <a16:creationId xmlns:a16="http://schemas.microsoft.com/office/drawing/2014/main" id="{898C754B-A8B5-4394-9C00-0DC465177A9F}"/>
            </a:ext>
          </a:extLst>
        </xdr:cNvPr>
        <xdr:cNvSpPr/>
      </xdr:nvSpPr>
      <xdr:spPr>
        <a:xfrm>
          <a:off x="289560" y="5692140"/>
          <a:ext cx="45719" cy="914400"/>
        </a:xfrm>
        <a:prstGeom prst="rect">
          <a:avLst/>
        </a:prstGeom>
        <a:solidFill>
          <a:srgbClr val="2F80E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83820</xdr:colOff>
      <xdr:row>17</xdr:row>
      <xdr:rowOff>15241</xdr:rowOff>
    </xdr:from>
    <xdr:to>
      <xdr:col>12</xdr:col>
      <xdr:colOff>556260</xdr:colOff>
      <xdr:row>26</xdr:row>
      <xdr:rowOff>167640</xdr:rowOff>
    </xdr:to>
    <mc:AlternateContent xmlns:mc="http://schemas.openxmlformats.org/markup-compatibility/2006" xmlns:a14="http://schemas.microsoft.com/office/drawing/2010/main">
      <mc:Choice Requires="a14">
        <xdr:graphicFrame macro="">
          <xdr:nvGraphicFramePr>
            <xdr:cNvPr id="109" name="Representative">
              <a:extLst>
                <a:ext uri="{FF2B5EF4-FFF2-40B4-BE49-F238E27FC236}">
                  <a16:creationId xmlns:a16="http://schemas.microsoft.com/office/drawing/2014/main" id="{8BEE8B87-FABD-433B-9177-23527107B452}"/>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060353" y="3537374"/>
              <a:ext cx="1141307" cy="1828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76200</xdr:colOff>
      <xdr:row>31</xdr:row>
      <xdr:rowOff>57235</xdr:rowOff>
    </xdr:from>
    <xdr:to>
      <xdr:col>1</xdr:col>
      <xdr:colOff>345540</xdr:colOff>
      <xdr:row>32</xdr:row>
      <xdr:rowOff>137160</xdr:rowOff>
    </xdr:to>
    <xdr:pic>
      <xdr:nvPicPr>
        <xdr:cNvPr id="108" name="Graphic 107" descr="Star-struck face outline with solid fill">
          <a:extLst>
            <a:ext uri="{FF2B5EF4-FFF2-40B4-BE49-F238E27FC236}">
              <a16:creationId xmlns:a16="http://schemas.microsoft.com/office/drawing/2014/main" id="{A01E13EF-B895-4374-AA2A-193F121C8CD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65760" y="5726515"/>
          <a:ext cx="269340" cy="262805"/>
        </a:xfrm>
        <a:prstGeom prst="rect">
          <a:avLst/>
        </a:prstGeom>
      </xdr:spPr>
    </xdr:pic>
    <xdr:clientData/>
  </xdr:twoCellAnchor>
  <xdr:twoCellAnchor>
    <xdr:from>
      <xdr:col>3</xdr:col>
      <xdr:colOff>297180</xdr:colOff>
      <xdr:row>2</xdr:row>
      <xdr:rowOff>152400</xdr:rowOff>
    </xdr:from>
    <xdr:to>
      <xdr:col>10</xdr:col>
      <xdr:colOff>91440</xdr:colOff>
      <xdr:row>16</xdr:row>
      <xdr:rowOff>83820</xdr:rowOff>
    </xdr:to>
    <xdr:graphicFrame macro="">
      <xdr:nvGraphicFramePr>
        <xdr:cNvPr id="110" name="Chart 109">
          <a:extLst>
            <a:ext uri="{FF2B5EF4-FFF2-40B4-BE49-F238E27FC236}">
              <a16:creationId xmlns:a16="http://schemas.microsoft.com/office/drawing/2014/main" id="{0C29E2F8-0368-4E11-AFE6-5FB839522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144780</xdr:colOff>
      <xdr:row>2</xdr:row>
      <xdr:rowOff>144780</xdr:rowOff>
    </xdr:from>
    <xdr:to>
      <xdr:col>12</xdr:col>
      <xdr:colOff>609600</xdr:colOff>
      <xdr:row>16</xdr:row>
      <xdr:rowOff>68580</xdr:rowOff>
    </xdr:to>
    <xdr:graphicFrame macro="">
      <xdr:nvGraphicFramePr>
        <xdr:cNvPr id="111" name="Chart 110">
          <a:extLst>
            <a:ext uri="{FF2B5EF4-FFF2-40B4-BE49-F238E27FC236}">
              <a16:creationId xmlns:a16="http://schemas.microsoft.com/office/drawing/2014/main" id="{48D80388-17AD-4ED0-B3B5-63521BDC9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270510</xdr:colOff>
      <xdr:row>17</xdr:row>
      <xdr:rowOff>7620</xdr:rowOff>
    </xdr:from>
    <xdr:to>
      <xdr:col>7</xdr:col>
      <xdr:colOff>259080</xdr:colOff>
      <xdr:row>36</xdr:row>
      <xdr:rowOff>15240</xdr:rowOff>
    </xdr:to>
    <xdr:graphicFrame macro="">
      <xdr:nvGraphicFramePr>
        <xdr:cNvPr id="118" name="Chart 117">
          <a:extLst>
            <a:ext uri="{FF2B5EF4-FFF2-40B4-BE49-F238E27FC236}">
              <a16:creationId xmlns:a16="http://schemas.microsoft.com/office/drawing/2014/main" id="{C3CC51B1-714A-4F91-91F4-9A7BD57A0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259080</xdr:colOff>
      <xdr:row>17</xdr:row>
      <xdr:rowOff>11430</xdr:rowOff>
    </xdr:from>
    <xdr:to>
      <xdr:col>10</xdr:col>
      <xdr:colOff>662940</xdr:colOff>
      <xdr:row>36</xdr:row>
      <xdr:rowOff>15240</xdr:rowOff>
    </xdr:to>
    <xdr:graphicFrame macro="">
      <xdr:nvGraphicFramePr>
        <xdr:cNvPr id="119" name="Chart 118">
          <a:extLst>
            <a:ext uri="{FF2B5EF4-FFF2-40B4-BE49-F238E27FC236}">
              <a16:creationId xmlns:a16="http://schemas.microsoft.com/office/drawing/2014/main" id="{6A88D251-FEBD-4D41-B388-CF23F3E21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662940</xdr:colOff>
      <xdr:row>2</xdr:row>
      <xdr:rowOff>144780</xdr:rowOff>
    </xdr:from>
    <xdr:to>
      <xdr:col>16</xdr:col>
      <xdr:colOff>83820</xdr:colOff>
      <xdr:row>16</xdr:row>
      <xdr:rowOff>53340</xdr:rowOff>
    </xdr:to>
    <xdr:graphicFrame macro="">
      <xdr:nvGraphicFramePr>
        <xdr:cNvPr id="120" name="Chart 119">
          <a:extLst>
            <a:ext uri="{FF2B5EF4-FFF2-40B4-BE49-F238E27FC236}">
              <a16:creationId xmlns:a16="http://schemas.microsoft.com/office/drawing/2014/main" id="{84F5EC22-B967-47AF-AE52-8385D3247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144780</xdr:colOff>
      <xdr:row>2</xdr:row>
      <xdr:rowOff>144780</xdr:rowOff>
    </xdr:from>
    <xdr:to>
      <xdr:col>19</xdr:col>
      <xdr:colOff>632460</xdr:colOff>
      <xdr:row>16</xdr:row>
      <xdr:rowOff>53340</xdr:rowOff>
    </xdr:to>
    <xdr:graphicFrame macro="">
      <xdr:nvGraphicFramePr>
        <xdr:cNvPr id="121" name="Chart 120">
          <a:extLst>
            <a:ext uri="{FF2B5EF4-FFF2-40B4-BE49-F238E27FC236}">
              <a16:creationId xmlns:a16="http://schemas.microsoft.com/office/drawing/2014/main" id="{F92A5DB5-623B-4CF0-895F-23E887D44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493486</xdr:colOff>
      <xdr:row>0</xdr:row>
      <xdr:rowOff>210457</xdr:rowOff>
    </xdr:from>
    <xdr:to>
      <xdr:col>20</xdr:col>
      <xdr:colOff>417286</xdr:colOff>
      <xdr:row>0</xdr:row>
      <xdr:rowOff>469295</xdr:rowOff>
    </xdr:to>
    <xdr:sp macro="" textlink="">
      <xdr:nvSpPr>
        <xdr:cNvPr id="3" name="TextBox 2">
          <a:extLst>
            <a:ext uri="{FF2B5EF4-FFF2-40B4-BE49-F238E27FC236}">
              <a16:creationId xmlns:a16="http://schemas.microsoft.com/office/drawing/2014/main" id="{FCAD4276-D803-E5C3-D8C8-4D0A941DA034}"/>
            </a:ext>
          </a:extLst>
        </xdr:cNvPr>
        <xdr:cNvSpPr txBox="1"/>
      </xdr:nvSpPr>
      <xdr:spPr>
        <a:xfrm>
          <a:off x="10416419" y="210457"/>
          <a:ext cx="3268134" cy="258838"/>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75000"/>
                </a:schemeClr>
              </a:solidFill>
            </a:rPr>
            <a:t>JEEVARATHINAM  G</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ha jeyaraman" refreshedDate="46150.512178819445" backgroundQuery="1" createdVersion="8" refreshedVersion="8" minRefreshableVersion="3" recordCount="0" supportSubquery="1" supportAdvancedDrill="1" xr:uid="{038ED2B3-F69D-4373-9A5C-49CFED82866A}">
  <cacheSource type="external" connectionId="1"/>
  <cacheFields count="3">
    <cacheField name="[Measures].[Call Count]" caption="Call Count" numFmtId="0" hierarchy="17" level="32767"/>
    <cacheField name="[Measures].[Total Amount]" caption="Total Amount" numFmtId="0" hierarchy="18" level="32767"/>
    <cacheField name="[calls].[Representative].[Representative]" caption="Representative" numFmtId="0" hierarchy="3" level="1">
      <sharedItems count="5">
        <s v="R01"/>
        <s v="R02"/>
        <s v="R03"/>
        <s v="R04"/>
        <s v="R05"/>
      </sharedItems>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Date of Call (Month)]" caption="Count of Date of Call (Month)" measure="1" displayFolder="" measureGroup="calls" count="0" hidden="1">
      <extLst>
        <ext xmlns:x15="http://schemas.microsoft.com/office/spreadsheetml/2010/11/main" uri="{B97F6D7D-B522-45F9-BDA1-12C45D357490}">
          <x15:cacheHierarchy aggregatedColumn="11"/>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ha jeyaraman" refreshedDate="46149.754765972219" backgroundQuery="1" createdVersion="8" refreshedVersion="8" minRefreshableVersion="3" recordCount="0" supportSubquery="1" supportAdvancedDrill="1" xr:uid="{3EE40496-C29B-447B-A2EB-D2CE01299A42}">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Calls]" caption="5*Calls" numFmtId="0" hierarchy="21"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Date of Call (Month)]" caption="Count of Date of Call (Month)" measure="1" displayFolder="" measureGroup="calls" count="0" hidden="1">
      <extLst>
        <ext xmlns:x15="http://schemas.microsoft.com/office/spreadsheetml/2010/11/main" uri="{B97F6D7D-B522-45F9-BDA1-12C45D357490}">
          <x15:cacheHierarchy aggregatedColumn="11"/>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ha jeyaraman" refreshedDate="46150.554590509259" backgroundQuery="1" createdVersion="8" refreshedVersion="8" minRefreshableVersion="3" recordCount="0" supportSubquery="1" supportAdvancedDrill="1" xr:uid="{04882FD3-CBA7-44FC-919D-18C28382DE3A}">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Date of Call (Month)]" caption="Count of Date of Call (Month)" measure="1" displayFolder="" measureGroup="calls" count="0" hidden="1">
      <extLst>
        <ext xmlns:x15="http://schemas.microsoft.com/office/spreadsheetml/2010/11/main" uri="{B97F6D7D-B522-45F9-BDA1-12C45D357490}">
          <x15:cacheHierarchy aggregatedColumn="11"/>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ha jeyaraman" refreshedDate="46150.5703587963" backgroundQuery="1" createdVersion="8" refreshedVersion="8" minRefreshableVersion="3" recordCount="0" supportSubquery="1" supportAdvancedDrill="1" xr:uid="{F10883DE-2F2B-4321-A910-81DFF2C501AE}">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Date of Call (Month)]" caption="Count of Date of Call (Month)" measure="1" displayFolder="" measureGroup="calls" count="0" hidden="1">
      <extLst>
        <ext xmlns:x15="http://schemas.microsoft.com/office/spreadsheetml/2010/11/main" uri="{B97F6D7D-B522-45F9-BDA1-12C45D357490}">
          <x15:cacheHierarchy aggregatedColumn="11"/>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ha jeyaraman" refreshedDate="46151.53672048611" backgroundQuery="1" createdVersion="8" refreshedVersion="8" minRefreshableVersion="3" recordCount="0" supportSubquery="1" supportAdvancedDrill="1" xr:uid="{92FAA51C-3077-4EC6-A354-B29A5CEFB047}">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Date of Call (Month)]" caption="Count of Date of Call (Month)" measure="1" displayFolder="" measureGroup="calls" count="0" hidden="1">
      <extLst>
        <ext xmlns:x15="http://schemas.microsoft.com/office/spreadsheetml/2010/11/main" uri="{B97F6D7D-B522-45F9-BDA1-12C45D357490}">
          <x15:cacheHierarchy aggregatedColumn="11"/>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ha jeyaraman" refreshedDate="46151.536720833334" backgroundQuery="1" createdVersion="8" refreshedVersion="8" minRefreshableVersion="3" recordCount="0" supportSubquery="1" supportAdvancedDrill="1" xr:uid="{2460133E-62D8-4269-AC43-F397FD445D08}">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4-01-01T00:00:00" count="149">
        <d v="2023-01-01T00:00:00"/>
        <d v="2023-01-03T00:00:00"/>
        <d v="2023-01-05T00:00:00"/>
        <d v="2023-01-06T00:00:00"/>
        <d v="2023-01-09T00:00:00"/>
        <d v="2023-01-10T00:00:00"/>
        <d v="2023-01-12T00:00:00"/>
        <d v="2023-01-15T00:00:00"/>
        <d v="2023-01-17T00:00:00"/>
        <d v="2023-01-18T00:00:00"/>
        <d v="2023-01-19T00:00:00"/>
        <d v="2023-01-22T00:00:00"/>
        <d v="2023-01-23T00:00:00"/>
        <d v="2023-01-25T00:00:00"/>
        <d v="2023-01-26T00:00:00"/>
        <d v="2023-01-31T00:00:00"/>
        <d v="2023-02-01T00:00:00"/>
        <d v="2023-02-02T00:00:00"/>
        <d v="2023-02-04T00:00:00"/>
        <d v="2023-02-08T00:00:00"/>
        <d v="2023-02-09T00:00:00"/>
        <d v="2023-02-10T00:00:00"/>
        <d v="2023-02-16T00:00:00"/>
        <d v="2023-02-17T00:00:00"/>
        <d v="2023-02-18T00:00:00"/>
        <d v="2023-02-19T00:00:00"/>
        <d v="2023-02-21T00:00:00"/>
        <d v="2023-02-24T00:00:00"/>
        <d v="2023-02-25T00:00:00"/>
        <d v="2023-02-26T00:00:00"/>
        <d v="2023-02-27T00:00:00"/>
        <d v="2023-03-03T00:00:00"/>
        <d v="2023-03-05T00:00:00"/>
        <d v="2023-03-07T00:00:00"/>
        <d v="2023-03-09T00:00:00"/>
        <d v="2023-03-10T00:00:00"/>
        <d v="2023-03-11T00:00:00"/>
        <d v="2023-03-13T00:00:00"/>
        <d v="2023-03-14T00:00:00"/>
        <d v="2023-03-15T00:00:00"/>
        <d v="2023-03-16T00:00:00"/>
        <d v="2023-03-17T00:00:00"/>
        <d v="2023-03-20T00:00:00"/>
        <d v="2023-03-21T00:00:00"/>
        <d v="2023-03-25T00:00:00"/>
        <d v="2023-03-26T00:00:00"/>
        <d v="2023-03-29T00:00:00"/>
        <d v="2023-03-31T00:00:00"/>
        <d v="2023-04-02T00:00:00"/>
        <d v="2023-04-06T00:00:00"/>
        <d v="2023-04-07T00:00:00"/>
        <d v="2023-04-08T00:00:00"/>
        <d v="2023-04-09T00:00:00"/>
        <d v="2023-04-11T00:00:00"/>
        <d v="2023-04-12T00:00:00"/>
        <d v="2023-04-15T00:00:00"/>
        <d v="2023-04-17T00:00:00"/>
        <d v="2023-04-18T00:00:00"/>
        <d v="2023-04-21T00:00:00"/>
        <d v="2023-04-22T00:00:00"/>
        <d v="2023-04-26T00:00:00"/>
        <d v="2023-04-27T00:00:00"/>
        <d v="2023-05-01T00:00:00"/>
        <d v="2023-05-08T00:00:00"/>
        <d v="2023-05-24T00:00:00"/>
        <d v="2023-05-26T00:00:00"/>
        <d v="2023-05-28T00:00:00"/>
        <d v="2023-05-29T00:00:00"/>
        <d v="2023-05-30T00:00:00"/>
        <d v="2023-06-09T00:00:00"/>
        <d v="2023-06-11T00:00:00"/>
        <d v="2023-06-13T00:00:00"/>
        <d v="2023-06-15T00:00:00"/>
        <d v="2023-06-21T00:00:00"/>
        <d v="2023-06-23T00:00:00"/>
        <d v="2023-06-24T00:00:00"/>
        <d v="2023-06-26T00:00:00"/>
        <d v="2023-06-28T00:00:00"/>
        <d v="2023-07-01T00:00:00"/>
        <d v="2023-07-05T00:00:00"/>
        <d v="2023-07-06T00:00:00"/>
        <d v="2023-07-08T00:00:00"/>
        <d v="2023-07-14T00:00:00"/>
        <d v="2023-07-19T00:00:00"/>
        <d v="2023-07-22T00:00:00"/>
        <d v="2023-07-27T00:00:00"/>
        <d v="2023-07-28T00:00:00"/>
        <d v="2023-07-31T00:00:00"/>
        <d v="2023-08-02T00:00:00"/>
        <d v="2023-08-10T00:00:00"/>
        <d v="2023-08-16T00:00:00"/>
        <d v="2023-08-18T00:00:00"/>
        <d v="2023-08-19T00:00:00"/>
        <d v="2023-08-27T00:00:00"/>
        <d v="2023-08-30T00:00:00"/>
        <d v="2023-09-01T00:00:00"/>
        <d v="2023-09-04T00:00:00"/>
        <d v="2023-09-05T00:00:00"/>
        <d v="2023-09-06T00:00:00"/>
        <d v="2023-09-08T00:00:00"/>
        <d v="2023-09-10T00:00:00"/>
        <d v="2023-09-15T00:00:00"/>
        <d v="2023-09-17T00:00:00"/>
        <d v="2023-09-20T00:00:00"/>
        <d v="2023-09-21T00:00:00"/>
        <d v="2023-09-22T00:00:00"/>
        <d v="2023-09-23T00:00:00"/>
        <d v="2023-09-24T00:00:00"/>
        <d v="2023-09-26T00:00:00"/>
        <d v="2023-09-29T00:00:00"/>
        <d v="2023-09-30T00:00:00"/>
        <d v="2023-10-01T00:00:00"/>
        <d v="2023-10-03T00:00:00"/>
        <d v="2023-10-04T00:00:00"/>
        <d v="2023-10-05T00:00:00"/>
        <d v="2023-10-06T00:00:00"/>
        <d v="2023-10-10T00:00:00"/>
        <d v="2023-10-12T00:00:00"/>
        <d v="2023-10-14T00:00:00"/>
        <d v="2023-10-17T00:00:00"/>
        <d v="2023-10-21T00:00:00"/>
        <d v="2023-10-23T00:00:00"/>
        <d v="2023-10-24T00:00:00"/>
        <d v="2023-10-26T00:00:00"/>
        <d v="2023-10-27T00:00:00"/>
        <d v="2023-10-29T00:00:00"/>
        <d v="2023-10-30T00:00:00"/>
        <d v="2023-11-04T00:00:00"/>
        <d v="2023-11-08T00:00:00"/>
        <d v="2023-11-09T00:00:00"/>
        <d v="2023-11-11T00:00:00"/>
        <d v="2023-11-12T00:00:00"/>
        <d v="2023-11-13T00:00:00"/>
        <d v="2023-11-14T00:00:00"/>
        <d v="2023-11-15T00:00:00"/>
        <d v="2023-11-17T00:00:00"/>
        <d v="2023-11-18T00:00:00"/>
        <d v="2023-11-24T00:00:00"/>
        <d v="2023-11-28T00:00:00"/>
        <d v="2023-12-01T00:00:00"/>
        <d v="2023-12-02T00:00:00"/>
        <d v="2023-12-03T00:00:00"/>
        <d v="2023-12-04T00:00:00"/>
        <d v="2023-12-16T00:00:00"/>
        <d v="2023-12-25T00:00:00"/>
        <d v="2023-12-27T00:00:00"/>
        <d v="2023-12-28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30" level="32767">
      <extLst>
        <ext xmlns:x14="http://schemas.microsoft.com/office/spreadsheetml/2009/9/main" uri="{63CAB8AC-B538-458d-9737-405883B0398D}">
          <x14:cacheField ignore="1"/>
        </ext>
      </extLst>
    </cacheField>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Date of Call (Month)]" caption="Count of Date of Call (Month)" measure="1" displayFolder="" measureGroup="calls" count="0" hidden="1">
      <extLst>
        <ext xmlns:x15="http://schemas.microsoft.com/office/spreadsheetml/2010/11/main" uri="{B97F6D7D-B522-45F9-BDA1-12C45D357490}">
          <x15:cacheHierarchy aggregatedColumn="11"/>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ha jeyaraman" refreshedDate="46151.536721180557" backgroundQuery="1" createdVersion="8" refreshedVersion="8" minRefreshableVersion="3" recordCount="0" supportSubquery="1" supportAdvancedDrill="1" xr:uid="{0C70294D-DEB6-473F-BB43-FC98E0952294}">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Date of Call (Month)]" caption="Count of Date of Call (Month)" measure="1" displayFolder="" measureGroup="calls" count="0" hidden="1">
      <extLst>
        <ext xmlns:x15="http://schemas.microsoft.com/office/spreadsheetml/2010/11/main" uri="{B97F6D7D-B522-45F9-BDA1-12C45D357490}">
          <x15:cacheHierarchy aggregatedColumn="11"/>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ha jeyaraman" refreshedDate="46151.53672152778" backgroundQuery="1" createdVersion="8" refreshedVersion="8" minRefreshableVersion="3" recordCount="0" supportSubquery="1" supportAdvancedDrill="1" xr:uid="{F4060084-525B-420B-A711-BE24F2017025}">
  <cacheSource type="external" connectionId="1"/>
  <cacheFields count="1">
    <cacheField name="[calls].[Representative].[Representative]" caption="Representative" numFmtId="0" hierarchy="3" level="1">
      <sharedItems count="1">
        <s v="R02"/>
      </sharedItems>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Date of Call (Month)]" caption="Count of Date of Call (Month)" measure="1" displayFolder="" measureGroup="calls" count="0" hidden="1">
      <extLst>
        <ext xmlns:x15="http://schemas.microsoft.com/office/spreadsheetml/2010/11/main" uri="{B97F6D7D-B522-45F9-BDA1-12C45D357490}">
          <x15:cacheHierarchy aggregatedColumn="11"/>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ha jeyaraman" refreshedDate="46151.536721990742" backgroundQuery="1" createdVersion="8" refreshedVersion="8" minRefreshableVersion="3" recordCount="0" supportSubquery="1" supportAdvancedDrill="1" xr:uid="{CC40E50E-FDEA-4683-BF76-0077FB2AC358}">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Date of Call (Month)]" caption="Count of Date of Call (Month)" measure="1" displayFolder="" measureGroup="calls" count="0" hidden="1">
      <extLst>
        <ext xmlns:x15="http://schemas.microsoft.com/office/spreadsheetml/2010/11/main" uri="{B97F6D7D-B522-45F9-BDA1-12C45D357490}">
          <x15:cacheHierarchy aggregatedColumn="11"/>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ha jeyaraman" refreshedDate="46149.754758796298" backgroundQuery="1" createdVersion="3" refreshedVersion="8" minRefreshableVersion="3" recordCount="0" supportSubquery="1" supportAdvancedDrill="1" xr:uid="{07FDE5FF-3C0D-44CB-805B-5795FFE0E69D}">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58274425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D7DB7E-8810-4CCD-ABBC-2505A107D1E3}" name="rep pivot" cacheId="5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0">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E444ED-E0AD-4C48-86F8-F7B4554274B3}" name="Summary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49C4A1-61B2-4E5F-95BF-C408643C3950}" name="rep satisfication" cacheId="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69:B75"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15"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86C59D-D536-4E5E-B885-2CD7191C4EED}" name="reps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42:C48"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2"/>
  </colFields>
  <colItems count="2">
    <i>
      <x/>
    </i>
    <i i="1">
      <x v="1"/>
    </i>
  </colItems>
  <dataFields count="2">
    <dataField fld="0" subtotal="count" baseField="0" baseItem="0"/>
    <dataField fld="1"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6EC5FC-65AF-4882-A26F-6CC6A143CB2F}" name="week day trend" cacheId="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3">
  <location ref="E23:F31"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8">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1" count="1" selected="0">
            <x v="0"/>
          </reference>
        </references>
      </pivotArea>
    </chartFormat>
    <chartFormat chart="30" format="4">
      <pivotArea type="data" outline="0" fieldPosition="0">
        <references count="2">
          <reference field="4294967294" count="1" selected="0">
            <x v="0"/>
          </reference>
          <reference field="1" count="1" selected="0">
            <x v="1"/>
          </reference>
        </references>
      </pivotArea>
    </chartFormat>
    <chartFormat chart="30" format="5">
      <pivotArea type="data" outline="0" fieldPosition="0">
        <references count="2">
          <reference field="4294967294" count="1" selected="0">
            <x v="0"/>
          </reference>
          <reference field="1" count="1" selected="0">
            <x v="2"/>
          </reference>
        </references>
      </pivotArea>
    </chartFormat>
    <chartFormat chart="30" format="6">
      <pivotArea type="data" outline="0" fieldPosition="0">
        <references count="2">
          <reference field="4294967294" count="1" selected="0">
            <x v="0"/>
          </reference>
          <reference field="1" count="1" selected="0">
            <x v="3"/>
          </reference>
        </references>
      </pivotArea>
    </chartFormat>
    <chartFormat chart="30" format="7">
      <pivotArea type="data" outline="0" fieldPosition="0">
        <references count="2">
          <reference field="4294967294" count="1" selected="0">
            <x v="0"/>
          </reference>
          <reference field="1" count="1" selected="0">
            <x v="4"/>
          </reference>
        </references>
      </pivotArea>
    </chartFormat>
    <chartFormat chart="30" format="8">
      <pivotArea type="data" outline="0" fieldPosition="0">
        <references count="2">
          <reference field="4294967294" count="1" selected="0">
            <x v="0"/>
          </reference>
          <reference field="1" count="1" selected="0">
            <x v="5"/>
          </reference>
        </references>
      </pivotArea>
    </chartFormat>
    <chartFormat chart="30" format="9">
      <pivotArea type="data" outline="0" fieldPosition="0">
        <references count="2">
          <reference field="4294967294" count="1" selected="0">
            <x v="0"/>
          </reference>
          <reference field="1" count="1" selected="0">
            <x v="6"/>
          </reference>
        </references>
      </pivotArea>
    </chartFormat>
  </chartFormats>
  <pivotHierarchies count="30">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6E6FD4-B318-4C1B-A43B-CB746B36AA5C}" name="selected rep" cacheId="6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52:A53"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9">
      <pivotArea dataOnly="0" labelOnly="1" fieldPosition="0">
        <references count="1">
          <reference field="0" count="0"/>
        </references>
      </pivotArea>
    </format>
  </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B66CCE-E389-44FE-A614-DF3E34FE5B38}" name="rep amounts"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6">
  <location ref="A79:G98"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DF04CB-761D-48DC-91FF-B79BD9CB6F73}" name="monthly trend" cacheId="6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A23:C36"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31" format="7" series="1">
      <pivotArea type="data" outline="0" fieldPosition="0">
        <references count="1">
          <reference field="4294967294" count="1" selected="0">
            <x v="1"/>
          </reference>
        </references>
      </pivotArea>
    </chartFormat>
    <chartFormat chart="31" format="8"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208B67-592F-4836-9AB4-698F0EF2DA21}"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9:D64"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A4907BA1-8A31-4B0C-BA36-2C7680A9CAD3}" sourceName="[calls].[Representative]">
  <pivotTables>
    <pivotTable tabId="6" name="rep pivot"/>
    <pivotTable tabId="6" name="monthly trend"/>
    <pivotTable tabId="6" name="week day trend"/>
    <pivotTable tabId="6" name="selected rep"/>
    <pivotTable tabId="6" name="rep satisfication"/>
  </pivotTables>
  <data>
    <olap pivotCacheId="582744254">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422106D2-2555-4A2C-801E-5978B1C09F54}" cache="Slicer_Representative" caption="Representative" level="1"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8"/>
    <tableColumn id="5" xr3:uid="{5A35565E-8707-4DED-AD15-A0669D67B382}" name="Date of Call" dataDxfId="17"/>
    <tableColumn id="6" xr3:uid="{F2E4F158-B41F-47BC-8DF8-DFCADFEE4E40}" name="Purchase Amount"/>
    <tableColumn id="7" xr3:uid="{04B291B5-47BD-4F78-8FD8-D1551CCA6BD9}" name="Satisfaction Rating"/>
    <tableColumn id="8" xr3:uid="{6E4123C0-0B17-43B8-A142-A1E540CE974C}" name="FY" dataDxfId="16">
      <calculatedColumnFormula>IF(MONTH(calls[[#This Row],[Date of Call]])&lt;=6, YEAR(calls[[#This Row],[Date of Call]]), YEAR(calls[[#This Row],[Date of Call]])+1)</calculatedColumnFormula>
    </tableColumn>
    <tableColumn id="9" xr3:uid="{199FA271-5E9B-46CE-9BC6-2801F92CD17E}" name="Day of week" dataDxfId="15">
      <calculatedColumnFormula>TEXT(calls[[#This Row],[Date of Call]],"DDDD")</calculatedColumnFormula>
    </tableColumn>
    <tableColumn id="10" xr3:uid="{328CDB09-95B8-4D5E-9ED9-EF0D363735A1}" name="Duration Bucket" dataDxfId="14">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3">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2" headerRowBorderDxfId="11" tableBorderDxfId="10" totalsRowBorderDxfId="9">
  <autoFilter ref="Q3:T18" xr:uid="{27158F51-A707-4171-8A04-81FB0AABCBA5}"/>
  <tableColumns count="4">
    <tableColumn id="1" xr3:uid="{02688061-6A8C-4E23-B7FF-D00CD8B58CAC}" name="Customer ID" dataDxfId="8"/>
    <tableColumn id="2" xr3:uid="{771678B6-DB44-426B-9874-B4E421A440D5}" name="Gedner" dataDxfId="7"/>
    <tableColumn id="3" xr3:uid="{B0D41C62-587E-494D-B49A-603F2C05F8D3}" name="Age" dataDxfId="6"/>
    <tableColumn id="4" xr3:uid="{663F92D6-FE31-4D81-9E01-8D066DDC8A88}" name="City" dataDxfId="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B6DAE-E99B-4C34-A259-0D0B55CC1E95}">
  <dimension ref="A3:I98"/>
  <sheetViews>
    <sheetView topLeftCell="A3" zoomScale="90" zoomScaleNormal="90" workbookViewId="0">
      <selection activeCell="G3" sqref="G3"/>
    </sheetView>
  </sheetViews>
  <sheetFormatPr defaultRowHeight="14.4" x14ac:dyDescent="0.3"/>
  <cols>
    <col min="1" max="1" width="12.19921875" bestFit="1" customWidth="1"/>
    <col min="2" max="2" width="9.5" bestFit="1" customWidth="1"/>
    <col min="3" max="3" width="10.5" bestFit="1" customWidth="1"/>
    <col min="4" max="4" width="9.3984375" bestFit="1" customWidth="1"/>
    <col min="5" max="5" width="12.19921875" bestFit="1" customWidth="1"/>
    <col min="6" max="6" width="9.5" bestFit="1" customWidth="1"/>
    <col min="7" max="7" width="10.3984375" bestFit="1" customWidth="1"/>
    <col min="8" max="8" width="18.796875" customWidth="1"/>
    <col min="9" max="25" width="15.19921875" bestFit="1" customWidth="1"/>
    <col min="26" max="26" width="14" bestFit="1" customWidth="1"/>
    <col min="27" max="27" width="16.09765625" bestFit="1" customWidth="1"/>
    <col min="28" max="28" width="16.8984375" bestFit="1" customWidth="1"/>
    <col min="29" max="29" width="13.8984375" bestFit="1" customWidth="1"/>
    <col min="30" max="30" width="11.296875" bestFit="1" customWidth="1"/>
  </cols>
  <sheetData>
    <row r="3" spans="1:5" x14ac:dyDescent="0.3">
      <c r="A3" t="s">
        <v>1042</v>
      </c>
      <c r="B3" t="s">
        <v>1043</v>
      </c>
      <c r="C3" t="s">
        <v>1044</v>
      </c>
      <c r="D3" t="s">
        <v>1045</v>
      </c>
      <c r="E3" t="s">
        <v>1046</v>
      </c>
    </row>
    <row r="4" spans="1:5" x14ac:dyDescent="0.3">
      <c r="A4" s="19">
        <v>1000</v>
      </c>
      <c r="B4" s="20">
        <v>96623</v>
      </c>
      <c r="C4" s="19">
        <v>89850</v>
      </c>
      <c r="D4" s="21">
        <v>3.8854000000000033</v>
      </c>
      <c r="E4" s="19">
        <v>307</v>
      </c>
    </row>
    <row r="9" spans="1:5" x14ac:dyDescent="0.3">
      <c r="A9" t="s">
        <v>1042</v>
      </c>
      <c r="B9" t="s">
        <v>1043</v>
      </c>
      <c r="C9" t="s">
        <v>1044</v>
      </c>
      <c r="D9" t="s">
        <v>1045</v>
      </c>
      <c r="E9" t="s">
        <v>1046</v>
      </c>
    </row>
    <row r="10" spans="1:5" x14ac:dyDescent="0.3">
      <c r="A10" s="19">
        <v>218</v>
      </c>
      <c r="B10" s="20">
        <v>20581</v>
      </c>
      <c r="C10" s="19">
        <v>19300</v>
      </c>
      <c r="D10" s="21">
        <v>3.8706422018348627</v>
      </c>
      <c r="E10" s="19">
        <v>74</v>
      </c>
    </row>
    <row r="23" spans="1:6" x14ac:dyDescent="0.3">
      <c r="A23" s="22" t="s">
        <v>1047</v>
      </c>
      <c r="B23" t="s">
        <v>1042</v>
      </c>
      <c r="C23" t="s">
        <v>1062</v>
      </c>
      <c r="E23" s="22" t="s">
        <v>1047</v>
      </c>
      <c r="F23" t="s">
        <v>1042</v>
      </c>
    </row>
    <row r="24" spans="1:6" x14ac:dyDescent="0.3">
      <c r="A24" s="23" t="s">
        <v>1050</v>
      </c>
      <c r="B24" s="19">
        <v>19</v>
      </c>
      <c r="C24" s="19">
        <v>19</v>
      </c>
      <c r="E24" s="23" t="s">
        <v>1066</v>
      </c>
      <c r="F24" s="19">
        <v>28</v>
      </c>
    </row>
    <row r="25" spans="1:6" x14ac:dyDescent="0.3">
      <c r="A25" s="23" t="s">
        <v>1051</v>
      </c>
      <c r="B25" s="19">
        <v>10</v>
      </c>
      <c r="C25" s="19">
        <v>10</v>
      </c>
      <c r="E25" s="23" t="s">
        <v>1064</v>
      </c>
      <c r="F25" s="19">
        <v>24</v>
      </c>
    </row>
    <row r="26" spans="1:6" x14ac:dyDescent="0.3">
      <c r="A26" s="23" t="s">
        <v>1052</v>
      </c>
      <c r="B26" s="19">
        <v>40</v>
      </c>
      <c r="C26" s="19">
        <v>40</v>
      </c>
      <c r="E26" s="23" t="s">
        <v>1068</v>
      </c>
      <c r="F26" s="19">
        <v>44</v>
      </c>
    </row>
    <row r="27" spans="1:6" x14ac:dyDescent="0.3">
      <c r="A27" s="23" t="s">
        <v>1053</v>
      </c>
      <c r="B27" s="19">
        <v>40</v>
      </c>
      <c r="C27" s="19">
        <v>40</v>
      </c>
      <c r="E27" s="23" t="s">
        <v>1069</v>
      </c>
      <c r="F27" s="19">
        <v>36</v>
      </c>
    </row>
    <row r="28" spans="1:6" x14ac:dyDescent="0.3">
      <c r="A28" s="23" t="s">
        <v>1054</v>
      </c>
      <c r="B28" s="19">
        <v>13</v>
      </c>
      <c r="C28" s="19">
        <v>13</v>
      </c>
      <c r="E28" s="23" t="s">
        <v>1067</v>
      </c>
      <c r="F28" s="19">
        <v>33</v>
      </c>
    </row>
    <row r="29" spans="1:6" x14ac:dyDescent="0.3">
      <c r="A29" s="23" t="s">
        <v>1055</v>
      </c>
      <c r="B29" s="19">
        <v>12</v>
      </c>
      <c r="C29" s="19">
        <v>12</v>
      </c>
      <c r="E29" s="23" t="s">
        <v>1063</v>
      </c>
      <c r="F29" s="19">
        <v>29</v>
      </c>
    </row>
    <row r="30" spans="1:6" x14ac:dyDescent="0.3">
      <c r="A30" s="23" t="s">
        <v>1056</v>
      </c>
      <c r="B30" s="19">
        <v>9</v>
      </c>
      <c r="C30" s="19">
        <v>9</v>
      </c>
      <c r="E30" s="23" t="s">
        <v>1065</v>
      </c>
      <c r="F30" s="19">
        <v>24</v>
      </c>
    </row>
    <row r="31" spans="1:6" x14ac:dyDescent="0.3">
      <c r="A31" s="23" t="s">
        <v>1057</v>
      </c>
      <c r="B31" s="19">
        <v>13</v>
      </c>
      <c r="C31" s="19">
        <v>13</v>
      </c>
      <c r="E31" s="23" t="s">
        <v>1048</v>
      </c>
      <c r="F31" s="19">
        <v>218</v>
      </c>
    </row>
    <row r="32" spans="1:6" x14ac:dyDescent="0.3">
      <c r="A32" s="23" t="s">
        <v>1058</v>
      </c>
      <c r="B32" s="19">
        <v>18</v>
      </c>
      <c r="C32" s="19">
        <v>18</v>
      </c>
    </row>
    <row r="33" spans="1:9" x14ac:dyDescent="0.3">
      <c r="A33" s="23" t="s">
        <v>1059</v>
      </c>
      <c r="B33" s="19">
        <v>21</v>
      </c>
      <c r="C33" s="19">
        <v>21</v>
      </c>
    </row>
    <row r="34" spans="1:9" x14ac:dyDescent="0.3">
      <c r="A34" s="23" t="s">
        <v>1060</v>
      </c>
      <c r="B34" s="19">
        <v>14</v>
      </c>
      <c r="C34" s="19">
        <v>14</v>
      </c>
    </row>
    <row r="35" spans="1:9" x14ac:dyDescent="0.3">
      <c r="A35" s="23" t="s">
        <v>1061</v>
      </c>
      <c r="B35" s="19">
        <v>9</v>
      </c>
      <c r="C35" s="19">
        <v>9</v>
      </c>
    </row>
    <row r="36" spans="1:9" x14ac:dyDescent="0.3">
      <c r="A36" s="23" t="s">
        <v>1048</v>
      </c>
      <c r="B36" s="19">
        <v>218</v>
      </c>
      <c r="C36" s="19">
        <v>218</v>
      </c>
    </row>
    <row r="39" spans="1:9" x14ac:dyDescent="0.3">
      <c r="E39" t="s">
        <v>1070</v>
      </c>
      <c r="H39" t="s">
        <v>1076</v>
      </c>
      <c r="I39" t="str">
        <f>A53</f>
        <v>R02</v>
      </c>
    </row>
    <row r="41" spans="1:9" x14ac:dyDescent="0.3">
      <c r="E41" t="s">
        <v>1071</v>
      </c>
      <c r="F41" t="s">
        <v>1072</v>
      </c>
      <c r="G41" t="s">
        <v>1073</v>
      </c>
      <c r="H41" t="s">
        <v>1075</v>
      </c>
      <c r="I41" t="s">
        <v>1074</v>
      </c>
    </row>
    <row r="42" spans="1:9" x14ac:dyDescent="0.3">
      <c r="A42" s="22" t="s">
        <v>1047</v>
      </c>
      <c r="B42" t="s">
        <v>1042</v>
      </c>
      <c r="C42" t="s">
        <v>1043</v>
      </c>
      <c r="E42" t="str" cm="1">
        <f t="array" ref="E42:G46">A43:C47</f>
        <v>R01</v>
      </c>
      <c r="F42">
        <v>189</v>
      </c>
      <c r="G42" s="25">
        <v>18415</v>
      </c>
      <c r="H42" t="e">
        <f>IF(E42=$I$39,F42,NA())</f>
        <v>#N/A</v>
      </c>
      <c r="I42" t="e">
        <f>IF(E42=$I$39,G42,NA())</f>
        <v>#N/A</v>
      </c>
    </row>
    <row r="43" spans="1:9" x14ac:dyDescent="0.3">
      <c r="A43" s="23" t="s">
        <v>11</v>
      </c>
      <c r="B43" s="19">
        <v>189</v>
      </c>
      <c r="C43" s="20">
        <v>18415</v>
      </c>
      <c r="E43" t="str">
        <v>R02</v>
      </c>
      <c r="F43">
        <v>218</v>
      </c>
      <c r="G43" s="25">
        <v>20581</v>
      </c>
      <c r="H43">
        <f t="shared" ref="H43:H46" si="0">IF(E43=$I$39,F43,NA())</f>
        <v>218</v>
      </c>
      <c r="I43">
        <f t="shared" ref="I43:I46" si="1">IF(E43=$I$39,G43,NA())</f>
        <v>20581</v>
      </c>
    </row>
    <row r="44" spans="1:9" x14ac:dyDescent="0.3">
      <c r="A44" s="23" t="s">
        <v>9</v>
      </c>
      <c r="B44" s="19">
        <v>218</v>
      </c>
      <c r="C44" s="20">
        <v>20581</v>
      </c>
      <c r="E44" t="str">
        <v>R03</v>
      </c>
      <c r="F44">
        <v>207</v>
      </c>
      <c r="G44" s="25">
        <v>20872</v>
      </c>
      <c r="H44" t="e">
        <f t="shared" si="0"/>
        <v>#N/A</v>
      </c>
      <c r="I44" t="e">
        <f t="shared" si="1"/>
        <v>#N/A</v>
      </c>
    </row>
    <row r="45" spans="1:9" x14ac:dyDescent="0.3">
      <c r="A45" s="23" t="s">
        <v>6</v>
      </c>
      <c r="B45" s="19">
        <v>207</v>
      </c>
      <c r="C45" s="20">
        <v>20872</v>
      </c>
      <c r="E45" t="str">
        <v>R04</v>
      </c>
      <c r="F45">
        <v>186</v>
      </c>
      <c r="G45" s="25">
        <v>16651</v>
      </c>
      <c r="H45" t="e">
        <f t="shared" si="0"/>
        <v>#N/A</v>
      </c>
      <c r="I45" t="e">
        <f t="shared" si="1"/>
        <v>#N/A</v>
      </c>
    </row>
    <row r="46" spans="1:9" x14ac:dyDescent="0.3">
      <c r="A46" s="23" t="s">
        <v>13</v>
      </c>
      <c r="B46" s="19">
        <v>186</v>
      </c>
      <c r="C46" s="20">
        <v>16651</v>
      </c>
      <c r="E46" t="str">
        <v>R05</v>
      </c>
      <c r="F46">
        <v>200</v>
      </c>
      <c r="G46" s="25">
        <v>20104</v>
      </c>
      <c r="H46" t="e">
        <f t="shared" si="0"/>
        <v>#N/A</v>
      </c>
      <c r="I46" t="e">
        <f t="shared" si="1"/>
        <v>#N/A</v>
      </c>
    </row>
    <row r="47" spans="1:9" x14ac:dyDescent="0.3">
      <c r="A47" s="23" t="s">
        <v>10</v>
      </c>
      <c r="B47" s="19">
        <v>200</v>
      </c>
      <c r="C47" s="20">
        <v>20104</v>
      </c>
    </row>
    <row r="48" spans="1:9" x14ac:dyDescent="0.3">
      <c r="A48" s="23" t="s">
        <v>1048</v>
      </c>
      <c r="B48" s="19">
        <v>1000</v>
      </c>
      <c r="C48" s="20">
        <v>96623</v>
      </c>
    </row>
    <row r="51" spans="1:8" x14ac:dyDescent="0.3">
      <c r="G51" t="s">
        <v>1078</v>
      </c>
    </row>
    <row r="52" spans="1:8" x14ac:dyDescent="0.3">
      <c r="A52" s="22" t="s">
        <v>1047</v>
      </c>
    </row>
    <row r="53" spans="1:8" x14ac:dyDescent="0.3">
      <c r="A53" s="26" t="s">
        <v>9</v>
      </c>
      <c r="G53" t="s">
        <v>1080</v>
      </c>
      <c r="H53" s="29">
        <f>A10/A4</f>
        <v>0.218</v>
      </c>
    </row>
    <row r="54" spans="1:8" x14ac:dyDescent="0.3">
      <c r="G54" t="s">
        <v>1082</v>
      </c>
      <c r="H54" s="30">
        <f>_xlfn.XLOOKUP(A53,E42:E46,F42:F46)</f>
        <v>218</v>
      </c>
    </row>
    <row r="55" spans="1:8" x14ac:dyDescent="0.3">
      <c r="G55" t="s">
        <v>1073</v>
      </c>
      <c r="H55">
        <f>_xlfn.XLOOKUP(A53,E42:E46,G42:G46)</f>
        <v>20581</v>
      </c>
    </row>
    <row r="58" spans="1:8" x14ac:dyDescent="0.3">
      <c r="G58" t="s">
        <v>1079</v>
      </c>
      <c r="H58">
        <f>_xlfn.RANK.AVG(H54,F42:F46)</f>
        <v>1</v>
      </c>
    </row>
    <row r="59" spans="1:8" x14ac:dyDescent="0.3">
      <c r="A59" s="22" t="s">
        <v>1042</v>
      </c>
      <c r="B59" s="22" t="s">
        <v>1049</v>
      </c>
      <c r="G59" t="s">
        <v>1081</v>
      </c>
      <c r="H59">
        <f>_xlfn.RANK.AVG(H55,G42:G46)</f>
        <v>2</v>
      </c>
    </row>
    <row r="60" spans="1:8" x14ac:dyDescent="0.3">
      <c r="A60" s="22" t="s">
        <v>1047</v>
      </c>
      <c r="B60" t="s">
        <v>999</v>
      </c>
      <c r="C60" t="s">
        <v>998</v>
      </c>
      <c r="D60" t="s">
        <v>1048</v>
      </c>
    </row>
    <row r="61" spans="1:8" x14ac:dyDescent="0.3">
      <c r="A61" s="23" t="s">
        <v>1002</v>
      </c>
      <c r="B61" s="19">
        <v>144</v>
      </c>
      <c r="C61" s="19">
        <v>132</v>
      </c>
      <c r="D61" s="19">
        <v>276</v>
      </c>
    </row>
    <row r="62" spans="1:8" x14ac:dyDescent="0.3">
      <c r="A62" s="23" t="s">
        <v>1001</v>
      </c>
      <c r="B62" s="19">
        <v>326</v>
      </c>
      <c r="C62" s="19">
        <v>63</v>
      </c>
      <c r="D62" s="19">
        <v>389</v>
      </c>
      <c r="G62" t="s">
        <v>1083</v>
      </c>
    </row>
    <row r="63" spans="1:8" x14ac:dyDescent="0.3">
      <c r="A63" s="23" t="s">
        <v>1000</v>
      </c>
      <c r="B63" s="19">
        <v>129</v>
      </c>
      <c r="C63" s="19">
        <v>206</v>
      </c>
      <c r="D63" s="19">
        <v>335</v>
      </c>
      <c r="H63" t="str">
        <f>"% of calls:"&amp;TEXT(H53,"0%")</f>
        <v>% of calls:22%</v>
      </c>
    </row>
    <row r="64" spans="1:8" x14ac:dyDescent="0.3">
      <c r="A64" s="23" t="s">
        <v>1048</v>
      </c>
      <c r="B64" s="19">
        <v>599</v>
      </c>
      <c r="C64" s="19">
        <v>401</v>
      </c>
      <c r="D64" s="19">
        <v>1000</v>
      </c>
      <c r="H64" t="str">
        <f>IF(COUNTA(A53:A57)&gt;1,"","Call Rank:"&amp;H58)</f>
        <v>Call Rank:1</v>
      </c>
    </row>
    <row r="65" spans="1:8" x14ac:dyDescent="0.3">
      <c r="H65" t="str">
        <f>IF(COUNTA(A53:A57)&gt;1,"","Amount Rank:"&amp;H59)</f>
        <v>Amount Rank:2</v>
      </c>
    </row>
    <row r="68" spans="1:8" x14ac:dyDescent="0.3">
      <c r="G68" t="s">
        <v>1084</v>
      </c>
      <c r="H68" t="str">
        <f>IF(COUNTA(A53:A57)&gt;1,"",_xlfn.XLOOKUP(A53,Assets!E3:E7,Assets!F3:F7))</f>
        <v>R02</v>
      </c>
    </row>
    <row r="69" spans="1:8" x14ac:dyDescent="0.3">
      <c r="A69" s="22" t="s">
        <v>1047</v>
      </c>
      <c r="B69" t="s">
        <v>1042</v>
      </c>
    </row>
    <row r="70" spans="1:8" x14ac:dyDescent="0.3">
      <c r="A70" s="23">
        <v>1</v>
      </c>
      <c r="B70" s="19">
        <v>3</v>
      </c>
    </row>
    <row r="71" spans="1:8" x14ac:dyDescent="0.3">
      <c r="A71" s="23">
        <v>2</v>
      </c>
      <c r="B71" s="19">
        <v>19</v>
      </c>
    </row>
    <row r="72" spans="1:8" x14ac:dyDescent="0.3">
      <c r="A72" s="23">
        <v>3</v>
      </c>
      <c r="B72" s="19">
        <v>35</v>
      </c>
    </row>
    <row r="73" spans="1:8" x14ac:dyDescent="0.3">
      <c r="A73" s="23">
        <v>4</v>
      </c>
      <c r="B73" s="19">
        <v>87</v>
      </c>
    </row>
    <row r="74" spans="1:8" x14ac:dyDescent="0.3">
      <c r="A74" s="23">
        <v>5</v>
      </c>
      <c r="B74" s="19">
        <v>74</v>
      </c>
    </row>
    <row r="75" spans="1:8" x14ac:dyDescent="0.3">
      <c r="A75" s="23" t="s">
        <v>1048</v>
      </c>
      <c r="B75" s="19">
        <v>218</v>
      </c>
    </row>
    <row r="79" spans="1:8" x14ac:dyDescent="0.3">
      <c r="A79" s="22" t="s">
        <v>1043</v>
      </c>
      <c r="B79" s="22" t="s">
        <v>1049</v>
      </c>
    </row>
    <row r="80" spans="1:8" x14ac:dyDescent="0.3">
      <c r="A80" s="22" t="s">
        <v>1047</v>
      </c>
      <c r="B80" t="s">
        <v>11</v>
      </c>
      <c r="C80" t="s">
        <v>9</v>
      </c>
      <c r="D80" t="s">
        <v>6</v>
      </c>
      <c r="E80" t="s">
        <v>13</v>
      </c>
      <c r="F80" t="s">
        <v>10</v>
      </c>
      <c r="G80" t="s">
        <v>1048</v>
      </c>
    </row>
    <row r="81" spans="1:7" x14ac:dyDescent="0.3">
      <c r="A81" s="23" t="s">
        <v>1002</v>
      </c>
    </row>
    <row r="82" spans="1:7" x14ac:dyDescent="0.3">
      <c r="A82" s="27" t="s">
        <v>20</v>
      </c>
      <c r="B82" s="20">
        <v>891</v>
      </c>
      <c r="C82" s="20">
        <v>1332</v>
      </c>
      <c r="D82" s="20">
        <v>1282</v>
      </c>
      <c r="E82" s="20">
        <v>739</v>
      </c>
      <c r="F82" s="20">
        <v>560</v>
      </c>
      <c r="G82" s="20">
        <v>4804</v>
      </c>
    </row>
    <row r="83" spans="1:7" x14ac:dyDescent="0.3">
      <c r="A83" s="27" t="s">
        <v>12</v>
      </c>
      <c r="B83" s="20">
        <v>1991</v>
      </c>
      <c r="C83" s="20">
        <v>1886</v>
      </c>
      <c r="D83" s="20">
        <v>1206</v>
      </c>
      <c r="E83" s="20">
        <v>884</v>
      </c>
      <c r="F83" s="20">
        <v>1722</v>
      </c>
      <c r="G83" s="20">
        <v>7689</v>
      </c>
    </row>
    <row r="84" spans="1:7" x14ac:dyDescent="0.3">
      <c r="A84" s="27" t="s">
        <v>8</v>
      </c>
      <c r="B84" s="20">
        <v>1163</v>
      </c>
      <c r="C84" s="20">
        <v>1180</v>
      </c>
      <c r="D84" s="20">
        <v>1616</v>
      </c>
      <c r="E84" s="20">
        <v>1043</v>
      </c>
      <c r="F84" s="20">
        <v>1747</v>
      </c>
      <c r="G84" s="20">
        <v>6749</v>
      </c>
    </row>
    <row r="85" spans="1:7" x14ac:dyDescent="0.3">
      <c r="A85" s="27" t="s">
        <v>16</v>
      </c>
      <c r="B85" s="20">
        <v>1438</v>
      </c>
      <c r="C85" s="20">
        <v>1616</v>
      </c>
      <c r="D85" s="20">
        <v>866</v>
      </c>
      <c r="E85" s="20">
        <v>829</v>
      </c>
      <c r="F85" s="20">
        <v>2070</v>
      </c>
      <c r="G85" s="20">
        <v>6819</v>
      </c>
    </row>
    <row r="86" spans="1:7" x14ac:dyDescent="0.3">
      <c r="A86" s="23" t="s">
        <v>1001</v>
      </c>
    </row>
    <row r="87" spans="1:7" x14ac:dyDescent="0.3">
      <c r="A87" s="27" t="s">
        <v>24</v>
      </c>
      <c r="B87" s="20">
        <v>1233</v>
      </c>
      <c r="C87" s="20">
        <v>223</v>
      </c>
      <c r="D87" s="20">
        <v>1680</v>
      </c>
      <c r="E87" s="20">
        <v>990</v>
      </c>
      <c r="F87" s="20">
        <v>1508</v>
      </c>
      <c r="G87" s="20">
        <v>5634</v>
      </c>
    </row>
    <row r="88" spans="1:7" x14ac:dyDescent="0.3">
      <c r="A88" s="27" t="s">
        <v>15</v>
      </c>
      <c r="B88" s="20">
        <v>1598</v>
      </c>
      <c r="C88" s="20">
        <v>1907</v>
      </c>
      <c r="D88" s="20">
        <v>869</v>
      </c>
      <c r="E88" s="20">
        <v>1426</v>
      </c>
      <c r="F88" s="20">
        <v>1416</v>
      </c>
      <c r="G88" s="20">
        <v>7216</v>
      </c>
    </row>
    <row r="89" spans="1:7" x14ac:dyDescent="0.3">
      <c r="A89" s="27" t="s">
        <v>5</v>
      </c>
      <c r="B89" s="20">
        <v>900</v>
      </c>
      <c r="C89" s="20">
        <v>1016</v>
      </c>
      <c r="D89" s="20">
        <v>960</v>
      </c>
      <c r="E89" s="20">
        <v>940</v>
      </c>
      <c r="F89" s="20">
        <v>1193</v>
      </c>
      <c r="G89" s="20">
        <v>5009</v>
      </c>
    </row>
    <row r="90" spans="1:7" x14ac:dyDescent="0.3">
      <c r="A90" s="27" t="s">
        <v>18</v>
      </c>
      <c r="B90" s="20">
        <v>900</v>
      </c>
      <c r="C90" s="20">
        <v>1470</v>
      </c>
      <c r="D90" s="20">
        <v>1617</v>
      </c>
      <c r="E90" s="20">
        <v>1314</v>
      </c>
      <c r="F90" s="20">
        <v>941</v>
      </c>
      <c r="G90" s="20">
        <v>6242</v>
      </c>
    </row>
    <row r="91" spans="1:7" x14ac:dyDescent="0.3">
      <c r="A91" s="27" t="s">
        <v>14</v>
      </c>
      <c r="B91" s="20">
        <v>1255</v>
      </c>
      <c r="C91" s="20">
        <v>516</v>
      </c>
      <c r="D91" s="20">
        <v>1874</v>
      </c>
      <c r="E91" s="20">
        <v>1863</v>
      </c>
      <c r="F91" s="20">
        <v>1722</v>
      </c>
      <c r="G91" s="20">
        <v>7230</v>
      </c>
    </row>
    <row r="92" spans="1:7" x14ac:dyDescent="0.3">
      <c r="A92" s="27" t="s">
        <v>19</v>
      </c>
      <c r="B92" s="20">
        <v>1138</v>
      </c>
      <c r="C92" s="20">
        <v>1898</v>
      </c>
      <c r="D92" s="20">
        <v>1482</v>
      </c>
      <c r="E92" s="20">
        <v>846</v>
      </c>
      <c r="F92" s="20">
        <v>1154</v>
      </c>
      <c r="G92" s="20">
        <v>6518</v>
      </c>
    </row>
    <row r="93" spans="1:7" x14ac:dyDescent="0.3">
      <c r="A93" s="23" t="s">
        <v>1000</v>
      </c>
    </row>
    <row r="94" spans="1:7" x14ac:dyDescent="0.3">
      <c r="A94" s="27" t="s">
        <v>17</v>
      </c>
      <c r="B94" s="20">
        <v>1655</v>
      </c>
      <c r="C94" s="20">
        <v>805</v>
      </c>
      <c r="D94" s="20">
        <v>2263</v>
      </c>
      <c r="E94" s="20">
        <v>987</v>
      </c>
      <c r="F94" s="20">
        <v>1075</v>
      </c>
      <c r="G94" s="20">
        <v>6785</v>
      </c>
    </row>
    <row r="95" spans="1:7" x14ac:dyDescent="0.3">
      <c r="A95" s="27" t="s">
        <v>23</v>
      </c>
      <c r="B95" s="20">
        <v>1104</v>
      </c>
      <c r="C95" s="20">
        <v>2280</v>
      </c>
      <c r="D95" s="20">
        <v>1445</v>
      </c>
      <c r="E95" s="20">
        <v>1722</v>
      </c>
      <c r="F95" s="20">
        <v>1196</v>
      </c>
      <c r="G95" s="20">
        <v>7747</v>
      </c>
    </row>
    <row r="96" spans="1:7" x14ac:dyDescent="0.3">
      <c r="A96" s="27" t="s">
        <v>7</v>
      </c>
      <c r="B96" s="20">
        <v>372</v>
      </c>
      <c r="C96" s="20">
        <v>1818</v>
      </c>
      <c r="D96" s="20">
        <v>1346</v>
      </c>
      <c r="E96" s="20">
        <v>1156</v>
      </c>
      <c r="F96" s="20">
        <v>1484</v>
      </c>
      <c r="G96" s="20">
        <v>6176</v>
      </c>
    </row>
    <row r="97" spans="1:7" x14ac:dyDescent="0.3">
      <c r="A97" s="27" t="s">
        <v>22</v>
      </c>
      <c r="B97" s="20">
        <v>1415</v>
      </c>
      <c r="C97" s="20">
        <v>1271</v>
      </c>
      <c r="D97" s="20">
        <v>1214</v>
      </c>
      <c r="E97" s="20">
        <v>1135</v>
      </c>
      <c r="F97" s="20">
        <v>1566</v>
      </c>
      <c r="G97" s="20">
        <v>6601</v>
      </c>
    </row>
    <row r="98" spans="1:7" x14ac:dyDescent="0.3">
      <c r="A98" s="27" t="s">
        <v>21</v>
      </c>
      <c r="B98" s="20">
        <v>1362</v>
      </c>
      <c r="C98" s="20">
        <v>1363</v>
      </c>
      <c r="D98" s="20">
        <v>1152</v>
      </c>
      <c r="E98" s="20">
        <v>777</v>
      </c>
      <c r="F98" s="20">
        <v>750</v>
      </c>
      <c r="G98" s="20">
        <v>5404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A1:T1003"/>
  <sheetViews>
    <sheetView zoomScale="70" zoomScaleNormal="70" workbookViewId="0">
      <selection activeCell="K30" sqref="K30"/>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1:20" s="4" customFormat="1" ht="48" customHeight="1" x14ac:dyDescent="0.3">
      <c r="A1" s="55" t="s">
        <v>1003</v>
      </c>
      <c r="B1" s="55"/>
      <c r="C1" s="55"/>
      <c r="D1" s="55"/>
      <c r="E1" s="55"/>
      <c r="F1" s="55"/>
      <c r="G1" s="55"/>
      <c r="H1" s="55"/>
      <c r="I1" s="55"/>
      <c r="J1" s="55"/>
      <c r="K1" s="55"/>
      <c r="L1" s="55"/>
      <c r="Q1" s="56" t="s">
        <v>1086</v>
      </c>
      <c r="R1" s="57"/>
      <c r="S1" s="57"/>
      <c r="T1" s="57"/>
    </row>
    <row r="2" spans="1:20" x14ac:dyDescent="0.3">
      <c r="R2" s="1"/>
    </row>
    <row r="3" spans="1:20" x14ac:dyDescent="0.3">
      <c r="B3" s="13" t="s">
        <v>25</v>
      </c>
      <c r="C3" s="13" t="s">
        <v>0</v>
      </c>
      <c r="D3" s="14" t="s">
        <v>1</v>
      </c>
      <c r="E3" s="15" t="s">
        <v>3</v>
      </c>
      <c r="F3" s="15" t="s">
        <v>4</v>
      </c>
      <c r="G3" s="13" t="s">
        <v>2</v>
      </c>
      <c r="H3" s="13" t="s">
        <v>994</v>
      </c>
      <c r="I3" t="s">
        <v>1036</v>
      </c>
      <c r="J3" t="s">
        <v>1037</v>
      </c>
      <c r="K3" t="s">
        <v>1038</v>
      </c>
      <c r="L3" t="s">
        <v>1039</v>
      </c>
      <c r="Q3" s="7" t="s">
        <v>0</v>
      </c>
      <c r="R3" s="8" t="s">
        <v>995</v>
      </c>
      <c r="S3" s="8" t="s">
        <v>996</v>
      </c>
      <c r="T3" s="9" t="s">
        <v>997</v>
      </c>
    </row>
    <row r="4" spans="1:20" x14ac:dyDescent="0.3">
      <c r="B4" t="s">
        <v>26</v>
      </c>
      <c r="C4" t="s">
        <v>20</v>
      </c>
      <c r="D4">
        <v>116</v>
      </c>
      <c r="E4" s="16" t="s">
        <v>10</v>
      </c>
      <c r="F4" s="17">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5" t="s">
        <v>17</v>
      </c>
      <c r="R4" s="3" t="s">
        <v>998</v>
      </c>
      <c r="S4" s="2">
        <v>41</v>
      </c>
      <c r="T4" s="6" t="s">
        <v>1000</v>
      </c>
    </row>
    <row r="5" spans="1:20" x14ac:dyDescent="0.3">
      <c r="B5" t="s">
        <v>27</v>
      </c>
      <c r="C5" t="s">
        <v>12</v>
      </c>
      <c r="D5">
        <v>119</v>
      </c>
      <c r="E5" s="16" t="s">
        <v>10</v>
      </c>
      <c r="F5" s="17">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5" t="s">
        <v>24</v>
      </c>
      <c r="R5" s="3" t="s">
        <v>998</v>
      </c>
      <c r="S5" s="2">
        <v>31</v>
      </c>
      <c r="T5" s="6" t="s">
        <v>1001</v>
      </c>
    </row>
    <row r="6" spans="1:20" x14ac:dyDescent="0.3">
      <c r="B6" t="s">
        <v>28</v>
      </c>
      <c r="C6" t="s">
        <v>23</v>
      </c>
      <c r="D6">
        <v>68</v>
      </c>
      <c r="E6" s="16" t="s">
        <v>9</v>
      </c>
      <c r="F6" s="17">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5" t="s">
        <v>20</v>
      </c>
      <c r="R6" s="3" t="s">
        <v>998</v>
      </c>
      <c r="S6" s="2">
        <v>26</v>
      </c>
      <c r="T6" s="6" t="s">
        <v>1002</v>
      </c>
    </row>
    <row r="7" spans="1:20" x14ac:dyDescent="0.3">
      <c r="B7" t="s">
        <v>29</v>
      </c>
      <c r="C7" t="s">
        <v>21</v>
      </c>
      <c r="D7">
        <v>119</v>
      </c>
      <c r="E7" s="16" t="s">
        <v>9</v>
      </c>
      <c r="F7" s="17">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5" t="s">
        <v>12</v>
      </c>
      <c r="R7" s="3" t="s">
        <v>998</v>
      </c>
      <c r="S7" s="2">
        <v>36</v>
      </c>
      <c r="T7" s="6" t="s">
        <v>1002</v>
      </c>
    </row>
    <row r="8" spans="1:20" x14ac:dyDescent="0.3">
      <c r="B8" t="s">
        <v>30</v>
      </c>
      <c r="C8" t="s">
        <v>8</v>
      </c>
      <c r="D8">
        <v>128</v>
      </c>
      <c r="E8" s="16" t="s">
        <v>11</v>
      </c>
      <c r="F8" s="17">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5" t="s">
        <v>23</v>
      </c>
      <c r="R8" s="3" t="s">
        <v>998</v>
      </c>
      <c r="S8" s="2">
        <v>37</v>
      </c>
      <c r="T8" s="6" t="s">
        <v>1000</v>
      </c>
    </row>
    <row r="9" spans="1:20" x14ac:dyDescent="0.3">
      <c r="B9" t="s">
        <v>31</v>
      </c>
      <c r="C9" t="s">
        <v>8</v>
      </c>
      <c r="D9">
        <v>49</v>
      </c>
      <c r="E9" s="16" t="s">
        <v>9</v>
      </c>
      <c r="F9" s="17">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5" t="s">
        <v>7</v>
      </c>
      <c r="R9" s="3" t="s">
        <v>998</v>
      </c>
      <c r="S9" s="2">
        <v>23</v>
      </c>
      <c r="T9" s="6" t="s">
        <v>1000</v>
      </c>
    </row>
    <row r="10" spans="1:20" x14ac:dyDescent="0.3">
      <c r="B10" t="s">
        <v>32</v>
      </c>
      <c r="C10" t="s">
        <v>15</v>
      </c>
      <c r="D10">
        <v>84</v>
      </c>
      <c r="E10" s="16" t="s">
        <v>10</v>
      </c>
      <c r="F10" s="17">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5" t="s">
        <v>15</v>
      </c>
      <c r="R10" s="3" t="s">
        <v>999</v>
      </c>
      <c r="S10" s="2">
        <v>22</v>
      </c>
      <c r="T10" s="6" t="s">
        <v>1001</v>
      </c>
    </row>
    <row r="11" spans="1:20" x14ac:dyDescent="0.3">
      <c r="B11" t="s">
        <v>33</v>
      </c>
      <c r="C11" t="s">
        <v>20</v>
      </c>
      <c r="D11">
        <v>103</v>
      </c>
      <c r="E11" s="16" t="s">
        <v>13</v>
      </c>
      <c r="F11" s="17">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5" t="s">
        <v>5</v>
      </c>
      <c r="R11" s="3" t="s">
        <v>999</v>
      </c>
      <c r="S11" s="2">
        <v>42</v>
      </c>
      <c r="T11" s="6" t="s">
        <v>1001</v>
      </c>
    </row>
    <row r="12" spans="1:20" x14ac:dyDescent="0.3">
      <c r="B12" t="s">
        <v>34</v>
      </c>
      <c r="C12" t="s">
        <v>23</v>
      </c>
      <c r="D12">
        <v>31</v>
      </c>
      <c r="E12" s="16" t="s">
        <v>9</v>
      </c>
      <c r="F12" s="17">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5" t="s">
        <v>22</v>
      </c>
      <c r="R12" s="3" t="s">
        <v>999</v>
      </c>
      <c r="S12" s="2">
        <v>25</v>
      </c>
      <c r="T12" s="6" t="s">
        <v>1000</v>
      </c>
    </row>
    <row r="13" spans="1:20" x14ac:dyDescent="0.3">
      <c r="B13" t="s">
        <v>35</v>
      </c>
      <c r="C13" t="s">
        <v>18</v>
      </c>
      <c r="D13">
        <v>44</v>
      </c>
      <c r="E13" s="16" t="s">
        <v>6</v>
      </c>
      <c r="F13" s="17">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5" t="s">
        <v>18</v>
      </c>
      <c r="R13" s="3" t="s">
        <v>999</v>
      </c>
      <c r="S13" s="2">
        <v>30</v>
      </c>
      <c r="T13" s="6" t="s">
        <v>1001</v>
      </c>
    </row>
    <row r="14" spans="1:20" x14ac:dyDescent="0.3">
      <c r="B14" t="s">
        <v>36</v>
      </c>
      <c r="C14" t="s">
        <v>8</v>
      </c>
      <c r="D14">
        <v>102</v>
      </c>
      <c r="E14" s="16" t="s">
        <v>9</v>
      </c>
      <c r="F14" s="17">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5" t="s">
        <v>8</v>
      </c>
      <c r="R14" s="3" t="s">
        <v>999</v>
      </c>
      <c r="S14" s="2">
        <v>30</v>
      </c>
      <c r="T14" s="6" t="s">
        <v>1002</v>
      </c>
    </row>
    <row r="15" spans="1:20" x14ac:dyDescent="0.3">
      <c r="B15" t="s">
        <v>37</v>
      </c>
      <c r="C15" t="s">
        <v>14</v>
      </c>
      <c r="D15">
        <v>135</v>
      </c>
      <c r="E15" s="16" t="s">
        <v>10</v>
      </c>
      <c r="F15" s="17">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5" t="s">
        <v>16</v>
      </c>
      <c r="R15" s="3" t="s">
        <v>999</v>
      </c>
      <c r="S15" s="2">
        <v>28</v>
      </c>
      <c r="T15" s="6" t="s">
        <v>1002</v>
      </c>
    </row>
    <row r="16" spans="1:20" x14ac:dyDescent="0.3">
      <c r="B16" t="s">
        <v>38</v>
      </c>
      <c r="C16" t="s">
        <v>24</v>
      </c>
      <c r="D16">
        <v>98</v>
      </c>
      <c r="E16" s="16" t="s">
        <v>9</v>
      </c>
      <c r="F16" s="17">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5" t="s">
        <v>14</v>
      </c>
      <c r="R16" s="3" t="s">
        <v>999</v>
      </c>
      <c r="S16" s="2">
        <v>37</v>
      </c>
      <c r="T16" s="6" t="s">
        <v>1001</v>
      </c>
    </row>
    <row r="17" spans="2:20" x14ac:dyDescent="0.3">
      <c r="B17" t="s">
        <v>39</v>
      </c>
      <c r="C17" t="s">
        <v>18</v>
      </c>
      <c r="D17">
        <v>139</v>
      </c>
      <c r="E17" s="16" t="s">
        <v>9</v>
      </c>
      <c r="F17" s="17">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5" t="s">
        <v>21</v>
      </c>
      <c r="R17" s="3" t="s">
        <v>999</v>
      </c>
      <c r="S17" s="2">
        <v>38</v>
      </c>
      <c r="T17" s="6" t="s">
        <v>1000</v>
      </c>
    </row>
    <row r="18" spans="2:20" x14ac:dyDescent="0.3">
      <c r="B18" t="s">
        <v>40</v>
      </c>
      <c r="C18" t="s">
        <v>14</v>
      </c>
      <c r="D18">
        <v>48</v>
      </c>
      <c r="E18" s="16" t="s">
        <v>11</v>
      </c>
      <c r="F18" s="17">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0" t="s">
        <v>19</v>
      </c>
      <c r="R18" s="18" t="s">
        <v>999</v>
      </c>
      <c r="S18" s="11">
        <v>43</v>
      </c>
      <c r="T18" s="12" t="s">
        <v>1001</v>
      </c>
    </row>
    <row r="19" spans="2:20" x14ac:dyDescent="0.3">
      <c r="B19" t="s">
        <v>41</v>
      </c>
      <c r="C19" t="s">
        <v>18</v>
      </c>
      <c r="D19">
        <v>176</v>
      </c>
      <c r="E19" s="16" t="s">
        <v>10</v>
      </c>
      <c r="F19" s="17">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6" t="s">
        <v>11</v>
      </c>
      <c r="F20" s="17">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6" t="s">
        <v>6</v>
      </c>
      <c r="F21" s="17">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6" t="s">
        <v>9</v>
      </c>
      <c r="F22" s="17">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6" t="s">
        <v>10</v>
      </c>
      <c r="F23" s="17">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6" t="s">
        <v>10</v>
      </c>
      <c r="F24" s="17">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6" t="s">
        <v>13</v>
      </c>
      <c r="F25" s="17">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6" t="s">
        <v>13</v>
      </c>
      <c r="F26" s="17">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6" t="s">
        <v>9</v>
      </c>
      <c r="F27" s="17">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6" t="s">
        <v>11</v>
      </c>
      <c r="F28" s="17">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6" t="s">
        <v>10</v>
      </c>
      <c r="F29" s="17">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6" t="s">
        <v>10</v>
      </c>
      <c r="F30" s="17">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6" t="s">
        <v>10</v>
      </c>
      <c r="F31" s="17">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6" t="s">
        <v>13</v>
      </c>
      <c r="F32" s="17">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6" t="s">
        <v>11</v>
      </c>
      <c r="F33" s="17">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6" t="s">
        <v>10</v>
      </c>
      <c r="F34" s="17">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6" t="s">
        <v>10</v>
      </c>
      <c r="F35" s="17">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6" t="s">
        <v>11</v>
      </c>
      <c r="F36" s="17">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6" t="s">
        <v>9</v>
      </c>
      <c r="F37" s="17">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6" t="s">
        <v>10</v>
      </c>
      <c r="F38" s="17">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6" t="s">
        <v>6</v>
      </c>
      <c r="F39" s="17">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6" t="s">
        <v>6</v>
      </c>
      <c r="F40" s="17">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6" t="s">
        <v>9</v>
      </c>
      <c r="F41" s="17">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6" t="s">
        <v>13</v>
      </c>
      <c r="F42" s="17">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6" t="s">
        <v>10</v>
      </c>
      <c r="F43" s="17">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6" t="s">
        <v>13</v>
      </c>
      <c r="F44" s="17">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6" t="s">
        <v>9</v>
      </c>
      <c r="F45" s="17">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6" t="s">
        <v>10</v>
      </c>
      <c r="F46" s="17">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6" t="s">
        <v>6</v>
      </c>
      <c r="F47" s="17">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6" t="s">
        <v>11</v>
      </c>
      <c r="F48" s="17">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6" t="s">
        <v>6</v>
      </c>
      <c r="F49" s="17">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6" t="s">
        <v>11</v>
      </c>
      <c r="F50" s="17">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6" t="s">
        <v>10</v>
      </c>
      <c r="F51" s="17">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6" t="s">
        <v>9</v>
      </c>
      <c r="F52" s="17">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6" t="s">
        <v>9</v>
      </c>
      <c r="F53" s="17">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6" t="s">
        <v>11</v>
      </c>
      <c r="F54" s="17">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6" t="s">
        <v>13</v>
      </c>
      <c r="F55" s="17">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6" t="s">
        <v>6</v>
      </c>
      <c r="F56" s="17">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6" t="s">
        <v>11</v>
      </c>
      <c r="F57" s="17">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6" t="s">
        <v>10</v>
      </c>
      <c r="F58" s="17">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6" t="s">
        <v>11</v>
      </c>
      <c r="F59" s="17">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6" t="s">
        <v>9</v>
      </c>
      <c r="F60" s="17">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6" t="s">
        <v>9</v>
      </c>
      <c r="F61" s="17">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6" t="s">
        <v>10</v>
      </c>
      <c r="F62" s="17">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6" t="s">
        <v>9</v>
      </c>
      <c r="F63" s="17">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6" t="s">
        <v>11</v>
      </c>
      <c r="F64" s="17">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6" t="s">
        <v>13</v>
      </c>
      <c r="F65" s="17">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6" t="s">
        <v>6</v>
      </c>
      <c r="F66" s="17">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6" t="s">
        <v>10</v>
      </c>
      <c r="F67" s="17">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6" t="s">
        <v>13</v>
      </c>
      <c r="F68" s="17">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6" t="s">
        <v>9</v>
      </c>
      <c r="F69" s="17">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6" t="s">
        <v>10</v>
      </c>
      <c r="F70" s="17">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6" t="s">
        <v>13</v>
      </c>
      <c r="F71" s="17">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6" t="s">
        <v>11</v>
      </c>
      <c r="F72" s="17">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6" t="s">
        <v>6</v>
      </c>
      <c r="F73" s="17">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6" t="s">
        <v>6</v>
      </c>
      <c r="F74" s="17">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6" t="s">
        <v>11</v>
      </c>
      <c r="F75" s="17">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6" t="s">
        <v>11</v>
      </c>
      <c r="F76" s="17">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6" t="s">
        <v>6</v>
      </c>
      <c r="F77" s="17">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6" t="s">
        <v>11</v>
      </c>
      <c r="F78" s="17">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6" t="s">
        <v>6</v>
      </c>
      <c r="F79" s="17">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6" t="s">
        <v>9</v>
      </c>
      <c r="F80" s="17">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6" t="s">
        <v>6</v>
      </c>
      <c r="F81" s="17">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6" t="s">
        <v>10</v>
      </c>
      <c r="F82" s="17">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6" t="s">
        <v>6</v>
      </c>
      <c r="F83" s="17">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6" t="s">
        <v>13</v>
      </c>
      <c r="F84" s="17">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6" t="s">
        <v>6</v>
      </c>
      <c r="F85" s="17">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6" t="s">
        <v>10</v>
      </c>
      <c r="F86" s="17">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6" t="s">
        <v>10</v>
      </c>
      <c r="F87" s="17">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6" t="s">
        <v>13</v>
      </c>
      <c r="F88" s="17">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6" t="s">
        <v>10</v>
      </c>
      <c r="F89" s="17">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6" t="s">
        <v>10</v>
      </c>
      <c r="F90" s="17">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6" t="s">
        <v>9</v>
      </c>
      <c r="F91" s="17">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6" t="s">
        <v>11</v>
      </c>
      <c r="F92" s="17">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6" t="s">
        <v>11</v>
      </c>
      <c r="F93" s="17">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6" t="s">
        <v>10</v>
      </c>
      <c r="F94" s="17">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6" t="s">
        <v>11</v>
      </c>
      <c r="F95" s="17">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6" t="s">
        <v>13</v>
      </c>
      <c r="F96" s="17">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6" t="s">
        <v>9</v>
      </c>
      <c r="F97" s="17">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6" t="s">
        <v>9</v>
      </c>
      <c r="F98" s="17">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6" t="s">
        <v>10</v>
      </c>
      <c r="F99" s="17">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6" t="s">
        <v>9</v>
      </c>
      <c r="F100" s="17">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6" t="s">
        <v>6</v>
      </c>
      <c r="F101" s="17">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6" t="s">
        <v>10</v>
      </c>
      <c r="F102" s="17">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6" t="s">
        <v>6</v>
      </c>
      <c r="F103" s="17">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6" t="s">
        <v>10</v>
      </c>
      <c r="F104" s="17">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6" t="s">
        <v>11</v>
      </c>
      <c r="F105" s="17">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6" t="s">
        <v>13</v>
      </c>
      <c r="F106" s="17">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6" t="s">
        <v>11</v>
      </c>
      <c r="F107" s="17">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6" t="s">
        <v>9</v>
      </c>
      <c r="F108" s="17">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6" t="s">
        <v>6</v>
      </c>
      <c r="F109" s="17">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6" t="s">
        <v>13</v>
      </c>
      <c r="F110" s="17">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6" t="s">
        <v>11</v>
      </c>
      <c r="F111" s="17">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6" t="s">
        <v>6</v>
      </c>
      <c r="F112" s="17">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6" t="s">
        <v>13</v>
      </c>
      <c r="F113" s="17">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6" t="s">
        <v>9</v>
      </c>
      <c r="F114" s="17">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6" t="s">
        <v>6</v>
      </c>
      <c r="F115" s="17">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6" t="s">
        <v>11</v>
      </c>
      <c r="F116" s="17">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6" t="s">
        <v>13</v>
      </c>
      <c r="F117" s="17">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6" t="s">
        <v>11</v>
      </c>
      <c r="F118" s="17">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6" t="s">
        <v>6</v>
      </c>
      <c r="F119" s="17">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6" t="s">
        <v>6</v>
      </c>
      <c r="F120" s="17">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6" t="s">
        <v>10</v>
      </c>
      <c r="F121" s="17">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6" t="s">
        <v>9</v>
      </c>
      <c r="F122" s="17">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6" t="s">
        <v>6</v>
      </c>
      <c r="F123" s="17">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6" t="s">
        <v>10</v>
      </c>
      <c r="F124" s="17">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6" t="s">
        <v>10</v>
      </c>
      <c r="F125" s="17">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6" t="s">
        <v>9</v>
      </c>
      <c r="F126" s="17">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6" t="s">
        <v>9</v>
      </c>
      <c r="F127" s="17">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6" t="s">
        <v>10</v>
      </c>
      <c r="F128" s="17">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6" t="s">
        <v>11</v>
      </c>
      <c r="F129" s="17">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6" t="s">
        <v>11</v>
      </c>
      <c r="F130" s="17">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6" t="s">
        <v>10</v>
      </c>
      <c r="F131" s="17">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6" t="s">
        <v>13</v>
      </c>
      <c r="F132" s="17">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6" t="s">
        <v>10</v>
      </c>
      <c r="F133" s="17">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6" t="s">
        <v>6</v>
      </c>
      <c r="F134" s="17">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6" t="s">
        <v>11</v>
      </c>
      <c r="F135" s="17">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6" t="s">
        <v>13</v>
      </c>
      <c r="F136" s="17">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6" t="s">
        <v>9</v>
      </c>
      <c r="F137" s="17">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6" t="s">
        <v>10</v>
      </c>
      <c r="F138" s="17">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6" t="s">
        <v>6</v>
      </c>
      <c r="F139" s="17">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6" t="s">
        <v>10</v>
      </c>
      <c r="F140" s="17">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6" t="s">
        <v>13</v>
      </c>
      <c r="F141" s="17">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6" t="s">
        <v>11</v>
      </c>
      <c r="F142" s="17">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6" t="s">
        <v>10</v>
      </c>
      <c r="F143" s="17">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6" t="s">
        <v>11</v>
      </c>
      <c r="F144" s="17">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6" t="s">
        <v>10</v>
      </c>
      <c r="F145" s="17">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6" t="s">
        <v>13</v>
      </c>
      <c r="F146" s="17">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6" t="s">
        <v>6</v>
      </c>
      <c r="F147" s="17">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6" t="s">
        <v>11</v>
      </c>
      <c r="F148" s="17">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6" t="s">
        <v>6</v>
      </c>
      <c r="F149" s="17">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6" t="s">
        <v>13</v>
      </c>
      <c r="F150" s="17">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6" t="s">
        <v>9</v>
      </c>
      <c r="F151" s="17">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6" t="s">
        <v>6</v>
      </c>
      <c r="F152" s="17">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6" t="s">
        <v>11</v>
      </c>
      <c r="F153" s="17">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6" t="s">
        <v>13</v>
      </c>
      <c r="F154" s="17">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6" t="s">
        <v>13</v>
      </c>
      <c r="F155" s="17">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6" t="s">
        <v>13</v>
      </c>
      <c r="F156" s="17">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6" t="s">
        <v>6</v>
      </c>
      <c r="F157" s="17">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6" t="s">
        <v>11</v>
      </c>
      <c r="F158" s="17">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6" t="s">
        <v>9</v>
      </c>
      <c r="F159" s="17">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6" t="s">
        <v>9</v>
      </c>
      <c r="F160" s="17">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6" t="s">
        <v>9</v>
      </c>
      <c r="F161" s="17">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6" t="s">
        <v>10</v>
      </c>
      <c r="F162" s="17">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6" t="s">
        <v>10</v>
      </c>
      <c r="F163" s="17">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6" t="s">
        <v>11</v>
      </c>
      <c r="F164" s="17">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6" t="s">
        <v>9</v>
      </c>
      <c r="F165" s="17">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6" t="s">
        <v>10</v>
      </c>
      <c r="F166" s="17">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6" t="s">
        <v>9</v>
      </c>
      <c r="F167" s="17">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6" t="s">
        <v>6</v>
      </c>
      <c r="F168" s="17">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6" t="s">
        <v>11</v>
      </c>
      <c r="F169" s="17">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6" t="s">
        <v>6</v>
      </c>
      <c r="F170" s="17">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6" t="s">
        <v>9</v>
      </c>
      <c r="F171" s="17">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6" t="s">
        <v>11</v>
      </c>
      <c r="F172" s="17">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6" t="s">
        <v>6</v>
      </c>
      <c r="F173" s="17">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6" t="s">
        <v>13</v>
      </c>
      <c r="F174" s="17">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6" t="s">
        <v>6</v>
      </c>
      <c r="F175" s="17">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6" t="s">
        <v>9</v>
      </c>
      <c r="F176" s="17">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6" t="s">
        <v>10</v>
      </c>
      <c r="F177" s="17">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6" t="s">
        <v>11</v>
      </c>
      <c r="F178" s="17">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6" t="s">
        <v>6</v>
      </c>
      <c r="F179" s="17">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6" t="s">
        <v>10</v>
      </c>
      <c r="F180" s="17">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6" t="s">
        <v>9</v>
      </c>
      <c r="F181" s="17">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6" t="s">
        <v>11</v>
      </c>
      <c r="F182" s="17">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6" t="s">
        <v>13</v>
      </c>
      <c r="F183" s="17">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6" t="s">
        <v>13</v>
      </c>
      <c r="F184" s="17">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6" t="s">
        <v>9</v>
      </c>
      <c r="F185" s="17">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6" t="s">
        <v>9</v>
      </c>
      <c r="F186" s="17">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6" t="s">
        <v>10</v>
      </c>
      <c r="F187" s="17">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6" t="s">
        <v>10</v>
      </c>
      <c r="F188" s="17">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6" t="s">
        <v>10</v>
      </c>
      <c r="F189" s="17">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6" t="s">
        <v>13</v>
      </c>
      <c r="F190" s="17">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6" t="s">
        <v>11</v>
      </c>
      <c r="F191" s="17">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6" t="s">
        <v>6</v>
      </c>
      <c r="F192" s="17">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6" t="s">
        <v>9</v>
      </c>
      <c r="F193" s="17">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6" t="s">
        <v>10</v>
      </c>
      <c r="F194" s="17">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6" t="s">
        <v>6</v>
      </c>
      <c r="F195" s="17">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6" t="s">
        <v>11</v>
      </c>
      <c r="F196" s="17">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6" t="s">
        <v>13</v>
      </c>
      <c r="F197" s="17">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6" t="s">
        <v>10</v>
      </c>
      <c r="F198" s="17">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6" t="s">
        <v>13</v>
      </c>
      <c r="F199" s="17">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6" t="s">
        <v>9</v>
      </c>
      <c r="F200" s="17">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6" t="s">
        <v>13</v>
      </c>
      <c r="F201" s="17">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6" t="s">
        <v>13</v>
      </c>
      <c r="F202" s="17">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6" t="s">
        <v>11</v>
      </c>
      <c r="F203" s="17">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6" t="s">
        <v>10</v>
      </c>
      <c r="F204" s="17">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6" t="s">
        <v>6</v>
      </c>
      <c r="F205" s="17">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6" t="s">
        <v>13</v>
      </c>
      <c r="F206" s="17">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6" t="s">
        <v>13</v>
      </c>
      <c r="F207" s="17">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6" t="s">
        <v>10</v>
      </c>
      <c r="F208" s="17">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6" t="s">
        <v>13</v>
      </c>
      <c r="F209" s="17">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6" t="s">
        <v>6</v>
      </c>
      <c r="F210" s="17">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6" t="s">
        <v>9</v>
      </c>
      <c r="F211" s="17">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6" t="s">
        <v>13</v>
      </c>
      <c r="F212" s="17">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6" t="s">
        <v>11</v>
      </c>
      <c r="F213" s="17">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6" t="s">
        <v>10</v>
      </c>
      <c r="F214" s="17">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6" t="s">
        <v>10</v>
      </c>
      <c r="F215" s="17">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6" t="s">
        <v>6</v>
      </c>
      <c r="F216" s="17">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6" t="s">
        <v>11</v>
      </c>
      <c r="F217" s="17">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6" t="s">
        <v>13</v>
      </c>
      <c r="F218" s="17">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6" t="s">
        <v>9</v>
      </c>
      <c r="F219" s="17">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6" t="s">
        <v>13</v>
      </c>
      <c r="F220" s="17">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6" t="s">
        <v>6</v>
      </c>
      <c r="F221" s="17">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6" t="s">
        <v>6</v>
      </c>
      <c r="F222" s="17">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6" t="s">
        <v>9</v>
      </c>
      <c r="F223" s="17">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6" t="s">
        <v>10</v>
      </c>
      <c r="F224" s="17">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6" t="s">
        <v>13</v>
      </c>
      <c r="F225" s="17">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6" t="s">
        <v>13</v>
      </c>
      <c r="F226" s="17">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6" t="s">
        <v>10</v>
      </c>
      <c r="F227" s="17">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6" t="s">
        <v>9</v>
      </c>
      <c r="F228" s="17">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6" t="s">
        <v>9</v>
      </c>
      <c r="F229" s="17">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6" t="s">
        <v>9</v>
      </c>
      <c r="F230" s="17">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6" t="s">
        <v>6</v>
      </c>
      <c r="F231" s="17">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6" t="s">
        <v>13</v>
      </c>
      <c r="F232" s="17">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6" t="s">
        <v>10</v>
      </c>
      <c r="F233" s="17">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6" t="s">
        <v>9</v>
      </c>
      <c r="F234" s="17">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6" t="s">
        <v>10</v>
      </c>
      <c r="F235" s="17">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6" t="s">
        <v>9</v>
      </c>
      <c r="F236" s="17">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6" t="s">
        <v>9</v>
      </c>
      <c r="F237" s="17">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6" t="s">
        <v>9</v>
      </c>
      <c r="F238" s="17">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6" t="s">
        <v>9</v>
      </c>
      <c r="F239" s="17">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6" t="s">
        <v>11</v>
      </c>
      <c r="F240" s="17">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6" t="s">
        <v>10</v>
      </c>
      <c r="F241" s="17">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6" t="s">
        <v>13</v>
      </c>
      <c r="F242" s="17">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6" t="s">
        <v>9</v>
      </c>
      <c r="F243" s="17">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6" t="s">
        <v>6</v>
      </c>
      <c r="F244" s="17">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6" t="s">
        <v>11</v>
      </c>
      <c r="F245" s="17">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6" t="s">
        <v>9</v>
      </c>
      <c r="F246" s="17">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6" t="s">
        <v>11</v>
      </c>
      <c r="F247" s="17">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6" t="s">
        <v>11</v>
      </c>
      <c r="F248" s="17">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6" t="s">
        <v>11</v>
      </c>
      <c r="F249" s="17">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6" t="s">
        <v>11</v>
      </c>
      <c r="F250" s="17">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6" t="s">
        <v>9</v>
      </c>
      <c r="F251" s="17">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6" t="s">
        <v>10</v>
      </c>
      <c r="F252" s="17">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6" t="s">
        <v>9</v>
      </c>
      <c r="F253" s="17">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6" t="s">
        <v>10</v>
      </c>
      <c r="F254" s="17">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6" t="s">
        <v>6</v>
      </c>
      <c r="F255" s="17">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6" t="s">
        <v>11</v>
      </c>
      <c r="F256" s="17">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6" t="s">
        <v>6</v>
      </c>
      <c r="F257" s="17">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6" t="s">
        <v>6</v>
      </c>
      <c r="F258" s="17">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6" t="s">
        <v>11</v>
      </c>
      <c r="F259" s="17">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6" t="s">
        <v>9</v>
      </c>
      <c r="F260" s="17">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6" t="s">
        <v>13</v>
      </c>
      <c r="F261" s="17">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6" t="s">
        <v>10</v>
      </c>
      <c r="F262" s="17">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6" t="s">
        <v>11</v>
      </c>
      <c r="F263" s="17">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6" t="s">
        <v>6</v>
      </c>
      <c r="F264" s="17">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6" t="s">
        <v>9</v>
      </c>
      <c r="F265" s="17">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6" t="s">
        <v>6</v>
      </c>
      <c r="F266" s="17">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6" t="s">
        <v>13</v>
      </c>
      <c r="F267" s="17">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6" t="s">
        <v>9</v>
      </c>
      <c r="F268" s="17">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6" t="s">
        <v>9</v>
      </c>
      <c r="F269" s="17">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6" t="s">
        <v>13</v>
      </c>
      <c r="F270" s="17">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6" t="s">
        <v>13</v>
      </c>
      <c r="F271" s="17">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6" t="s">
        <v>6</v>
      </c>
      <c r="F272" s="17">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6" t="s">
        <v>10</v>
      </c>
      <c r="F273" s="17">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6" t="s">
        <v>9</v>
      </c>
      <c r="F274" s="17">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6" t="s">
        <v>6</v>
      </c>
      <c r="F275" s="17">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6" t="s">
        <v>10</v>
      </c>
      <c r="F276" s="17">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6" t="s">
        <v>6</v>
      </c>
      <c r="F277" s="17">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6" t="s">
        <v>9</v>
      </c>
      <c r="F278" s="17">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6" t="s">
        <v>10</v>
      </c>
      <c r="F279" s="17">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6" t="s">
        <v>11</v>
      </c>
      <c r="F280" s="17">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6" t="s">
        <v>10</v>
      </c>
      <c r="F281" s="17">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6" t="s">
        <v>13</v>
      </c>
      <c r="F282" s="17">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6" t="s">
        <v>9</v>
      </c>
      <c r="F283" s="17">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6" t="s">
        <v>10</v>
      </c>
      <c r="F284" s="17">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6" t="s">
        <v>13</v>
      </c>
      <c r="F285" s="17">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6" t="s">
        <v>11</v>
      </c>
      <c r="F286" s="17">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6" t="s">
        <v>9</v>
      </c>
      <c r="F287" s="17">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6" t="s">
        <v>6</v>
      </c>
      <c r="F288" s="17">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6" t="s">
        <v>13</v>
      </c>
      <c r="F289" s="17">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6" t="s">
        <v>11</v>
      </c>
      <c r="F290" s="17">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6" t="s">
        <v>9</v>
      </c>
      <c r="F291" s="17">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6" t="s">
        <v>9</v>
      </c>
      <c r="F292" s="17">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6" t="s">
        <v>9</v>
      </c>
      <c r="F293" s="17">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6" t="s">
        <v>11</v>
      </c>
      <c r="F294" s="17">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6" t="s">
        <v>6</v>
      </c>
      <c r="F295" s="17">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6" t="s">
        <v>9</v>
      </c>
      <c r="F296" s="17">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6" t="s">
        <v>10</v>
      </c>
      <c r="F297" s="17">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6" t="s">
        <v>13</v>
      </c>
      <c r="F298" s="17">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6" t="s">
        <v>10</v>
      </c>
      <c r="F299" s="17">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6" t="s">
        <v>6</v>
      </c>
      <c r="F300" s="17">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6" t="s">
        <v>10</v>
      </c>
      <c r="F301" s="17">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6" t="s">
        <v>11</v>
      </c>
      <c r="F302" s="17">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6" t="s">
        <v>10</v>
      </c>
      <c r="F303" s="17">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6" t="s">
        <v>9</v>
      </c>
      <c r="F304" s="17">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6" t="s">
        <v>11</v>
      </c>
      <c r="F305" s="17">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6" t="s">
        <v>9</v>
      </c>
      <c r="F306" s="17">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6" t="s">
        <v>11</v>
      </c>
      <c r="F307" s="17">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6" t="s">
        <v>9</v>
      </c>
      <c r="F308" s="17">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6" t="s">
        <v>10</v>
      </c>
      <c r="F309" s="17">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6" t="s">
        <v>6</v>
      </c>
      <c r="F310" s="17">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6" t="s">
        <v>13</v>
      </c>
      <c r="F311" s="17">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6" t="s">
        <v>13</v>
      </c>
      <c r="F312" s="17">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6" t="s">
        <v>6</v>
      </c>
      <c r="F313" s="17">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6" t="s">
        <v>9</v>
      </c>
      <c r="F314" s="17">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6" t="s">
        <v>9</v>
      </c>
      <c r="F315" s="17">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6" t="s">
        <v>11</v>
      </c>
      <c r="F316" s="17">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6" t="s">
        <v>9</v>
      </c>
      <c r="F317" s="17">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6" t="s">
        <v>6</v>
      </c>
      <c r="F318" s="17">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6" t="s">
        <v>11</v>
      </c>
      <c r="F319" s="17">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6" t="s">
        <v>9</v>
      </c>
      <c r="F320" s="17">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6" t="s">
        <v>9</v>
      </c>
      <c r="F321" s="17">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6" t="s">
        <v>10</v>
      </c>
      <c r="F322" s="17">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6" t="s">
        <v>6</v>
      </c>
      <c r="F323" s="17">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6" t="s">
        <v>6</v>
      </c>
      <c r="F324" s="17">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6" t="s">
        <v>6</v>
      </c>
      <c r="F325" s="17">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6" t="s">
        <v>10</v>
      </c>
      <c r="F326" s="17">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6" t="s">
        <v>9</v>
      </c>
      <c r="F327" s="17">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6" t="s">
        <v>9</v>
      </c>
      <c r="F328" s="17">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6" t="s">
        <v>9</v>
      </c>
      <c r="F329" s="17">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6" t="s">
        <v>13</v>
      </c>
      <c r="F330" s="17">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6" t="s">
        <v>6</v>
      </c>
      <c r="F331" s="17">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6" t="s">
        <v>11</v>
      </c>
      <c r="F332" s="17">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6" t="s">
        <v>13</v>
      </c>
      <c r="F333" s="17">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6" t="s">
        <v>10</v>
      </c>
      <c r="F334" s="17">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6" t="s">
        <v>6</v>
      </c>
      <c r="F335" s="17">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6" t="s">
        <v>10</v>
      </c>
      <c r="F336" s="17">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6" t="s">
        <v>9</v>
      </c>
      <c r="F337" s="17">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6" t="s">
        <v>13</v>
      </c>
      <c r="F338" s="17">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6" t="s">
        <v>9</v>
      </c>
      <c r="F339" s="17">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6" t="s">
        <v>9</v>
      </c>
      <c r="F340" s="17">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6" t="s">
        <v>9</v>
      </c>
      <c r="F341" s="17">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6" t="s">
        <v>9</v>
      </c>
      <c r="F342" s="17">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6" t="s">
        <v>10</v>
      </c>
      <c r="F343" s="17">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6" t="s">
        <v>13</v>
      </c>
      <c r="F344" s="17">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6" t="s">
        <v>13</v>
      </c>
      <c r="F345" s="17">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6" t="s">
        <v>9</v>
      </c>
      <c r="F346" s="17">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6" t="s">
        <v>13</v>
      </c>
      <c r="F347" s="17">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6" t="s">
        <v>13</v>
      </c>
      <c r="F348" s="17">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6" t="s">
        <v>13</v>
      </c>
      <c r="F349" s="17">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6" t="s">
        <v>10</v>
      </c>
      <c r="F350" s="17">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6" t="s">
        <v>6</v>
      </c>
      <c r="F351" s="17">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6" t="s">
        <v>10</v>
      </c>
      <c r="F352" s="17">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6" t="s">
        <v>9</v>
      </c>
      <c r="F353" s="17">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6" t="s">
        <v>9</v>
      </c>
      <c r="F354" s="17">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6" t="s">
        <v>9</v>
      </c>
      <c r="F355" s="17">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6" t="s">
        <v>13</v>
      </c>
      <c r="F356" s="17">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6" t="s">
        <v>13</v>
      </c>
      <c r="F357" s="17">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6" t="s">
        <v>9</v>
      </c>
      <c r="F358" s="17">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6" t="s">
        <v>9</v>
      </c>
      <c r="F359" s="17">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6" t="s">
        <v>10</v>
      </c>
      <c r="F360" s="17">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6" t="s">
        <v>10</v>
      </c>
      <c r="F361" s="17">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6" t="s">
        <v>11</v>
      </c>
      <c r="F362" s="17">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6" t="s">
        <v>9</v>
      </c>
      <c r="F363" s="17">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6" t="s">
        <v>10</v>
      </c>
      <c r="F364" s="17">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6" t="s">
        <v>11</v>
      </c>
      <c r="F365" s="17">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6" t="s">
        <v>6</v>
      </c>
      <c r="F366" s="17">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6" t="s">
        <v>6</v>
      </c>
      <c r="F367" s="17">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6" t="s">
        <v>11</v>
      </c>
      <c r="F368" s="17">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6" t="s">
        <v>6</v>
      </c>
      <c r="F369" s="17">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6" t="s">
        <v>6</v>
      </c>
      <c r="F370" s="17">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6" t="s">
        <v>13</v>
      </c>
      <c r="F371" s="17">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6" t="s">
        <v>11</v>
      </c>
      <c r="F372" s="17">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6" t="s">
        <v>9</v>
      </c>
      <c r="F373" s="17">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6" t="s">
        <v>11</v>
      </c>
      <c r="F374" s="17">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6" t="s">
        <v>13</v>
      </c>
      <c r="F375" s="17">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6" t="s">
        <v>10</v>
      </c>
      <c r="F376" s="17">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6" t="s">
        <v>6</v>
      </c>
      <c r="F377" s="17">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6" t="s">
        <v>9</v>
      </c>
      <c r="F378" s="17">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6" t="s">
        <v>9</v>
      </c>
      <c r="F379" s="17">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6" t="s">
        <v>10</v>
      </c>
      <c r="F380" s="17">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6" t="s">
        <v>10</v>
      </c>
      <c r="F381" s="17">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6" t="s">
        <v>11</v>
      </c>
      <c r="F382" s="17">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6" t="s">
        <v>11</v>
      </c>
      <c r="F383" s="17">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6" t="s">
        <v>9</v>
      </c>
      <c r="F384" s="17">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6" t="s">
        <v>6</v>
      </c>
      <c r="F385" s="17">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6" t="s">
        <v>11</v>
      </c>
      <c r="F386" s="17">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6" t="s">
        <v>6</v>
      </c>
      <c r="F387" s="17">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6" t="s">
        <v>9</v>
      </c>
      <c r="F388" s="17">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6" t="s">
        <v>11</v>
      </c>
      <c r="F389" s="17">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6" t="s">
        <v>11</v>
      </c>
      <c r="F390" s="17">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6" t="s">
        <v>11</v>
      </c>
      <c r="F391" s="17">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6" t="s">
        <v>10</v>
      </c>
      <c r="F392" s="17">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6" t="s">
        <v>9</v>
      </c>
      <c r="F393" s="17">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6" t="s">
        <v>10</v>
      </c>
      <c r="F394" s="17">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6" t="s">
        <v>6</v>
      </c>
      <c r="F395" s="17">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6" t="s">
        <v>13</v>
      </c>
      <c r="F396" s="17">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6" t="s">
        <v>11</v>
      </c>
      <c r="F397" s="17">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6" t="s">
        <v>6</v>
      </c>
      <c r="F398" s="17">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6" t="s">
        <v>11</v>
      </c>
      <c r="F399" s="17">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6" t="s">
        <v>9</v>
      </c>
      <c r="F400" s="17">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6" t="s">
        <v>11</v>
      </c>
      <c r="F401" s="17">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6" t="s">
        <v>11</v>
      </c>
      <c r="F402" s="17">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6" t="s">
        <v>13</v>
      </c>
      <c r="F403" s="17">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6" t="s">
        <v>10</v>
      </c>
      <c r="F404" s="17">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6" t="s">
        <v>11</v>
      </c>
      <c r="F405" s="17">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6" t="s">
        <v>13</v>
      </c>
      <c r="F406" s="17">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6" t="s">
        <v>11</v>
      </c>
      <c r="F407" s="17">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6" t="s">
        <v>11</v>
      </c>
      <c r="F408" s="17">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6" t="s">
        <v>6</v>
      </c>
      <c r="F409" s="17">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6" t="s">
        <v>9</v>
      </c>
      <c r="F410" s="17">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6" t="s">
        <v>11</v>
      </c>
      <c r="F411" s="17">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6" t="s">
        <v>9</v>
      </c>
      <c r="F412" s="17">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6" t="s">
        <v>13</v>
      </c>
      <c r="F413" s="17">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6" t="s">
        <v>6</v>
      </c>
      <c r="F414" s="17">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6" t="s">
        <v>6</v>
      </c>
      <c r="F415" s="17">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6" t="s">
        <v>11</v>
      </c>
      <c r="F416" s="17">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6" t="s">
        <v>6</v>
      </c>
      <c r="F417" s="17">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6" t="s">
        <v>6</v>
      </c>
      <c r="F418" s="17">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6" t="s">
        <v>9</v>
      </c>
      <c r="F419" s="17">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6" t="s">
        <v>9</v>
      </c>
      <c r="F420" s="17">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6" t="s">
        <v>9</v>
      </c>
      <c r="F421" s="17">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6" t="s">
        <v>9</v>
      </c>
      <c r="F422" s="17">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6" t="s">
        <v>11</v>
      </c>
      <c r="F423" s="17">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6" t="s">
        <v>10</v>
      </c>
      <c r="F424" s="17">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6" t="s">
        <v>11</v>
      </c>
      <c r="F425" s="17">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6" t="s">
        <v>11</v>
      </c>
      <c r="F426" s="17">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6" t="s">
        <v>9</v>
      </c>
      <c r="F427" s="17">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6" t="s">
        <v>13</v>
      </c>
      <c r="F428" s="17">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6" t="s">
        <v>10</v>
      </c>
      <c r="F429" s="17">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6" t="s">
        <v>10</v>
      </c>
      <c r="F430" s="17">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6" t="s">
        <v>13</v>
      </c>
      <c r="F431" s="17">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6" t="s">
        <v>9</v>
      </c>
      <c r="F432" s="17">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6" t="s">
        <v>6</v>
      </c>
      <c r="F433" s="17">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6" t="s">
        <v>9</v>
      </c>
      <c r="F434" s="17">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6" t="s">
        <v>13</v>
      </c>
      <c r="F435" s="17">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6" t="s">
        <v>11</v>
      </c>
      <c r="F436" s="17">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6" t="s">
        <v>9</v>
      </c>
      <c r="F437" s="17">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6" t="s">
        <v>13</v>
      </c>
      <c r="F438" s="17">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6" t="s">
        <v>13</v>
      </c>
      <c r="F439" s="17">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6" t="s">
        <v>9</v>
      </c>
      <c r="F440" s="17">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6" t="s">
        <v>11</v>
      </c>
      <c r="F441" s="17">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6" t="s">
        <v>6</v>
      </c>
      <c r="F442" s="17">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6" t="s">
        <v>10</v>
      </c>
      <c r="F443" s="17">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6" t="s">
        <v>9</v>
      </c>
      <c r="F444" s="17">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6" t="s">
        <v>11</v>
      </c>
      <c r="F445" s="17">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6" t="s">
        <v>13</v>
      </c>
      <c r="F446" s="17">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6" t="s">
        <v>6</v>
      </c>
      <c r="F447" s="17">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6" t="s">
        <v>13</v>
      </c>
      <c r="F448" s="17">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6" t="s">
        <v>9</v>
      </c>
      <c r="F449" s="17">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6" t="s">
        <v>6</v>
      </c>
      <c r="F450" s="17">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6" t="s">
        <v>6</v>
      </c>
      <c r="F451" s="17">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6" t="s">
        <v>6</v>
      </c>
      <c r="F452" s="17">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6" t="s">
        <v>11</v>
      </c>
      <c r="F453" s="17">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6" t="s">
        <v>9</v>
      </c>
      <c r="F454" s="17">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6" t="s">
        <v>13</v>
      </c>
      <c r="F455" s="17">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6" t="s">
        <v>13</v>
      </c>
      <c r="F456" s="17">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6" t="s">
        <v>13</v>
      </c>
      <c r="F457" s="17">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6" t="s">
        <v>13</v>
      </c>
      <c r="F458" s="17">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6" t="s">
        <v>9</v>
      </c>
      <c r="F459" s="17">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6" t="s">
        <v>11</v>
      </c>
      <c r="F460" s="17">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6" t="s">
        <v>6</v>
      </c>
      <c r="F461" s="17">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6" t="s">
        <v>10</v>
      </c>
      <c r="F462" s="17">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6" t="s">
        <v>11</v>
      </c>
      <c r="F463" s="17">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6" t="s">
        <v>6</v>
      </c>
      <c r="F464" s="17">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6" t="s">
        <v>9</v>
      </c>
      <c r="F465" s="17">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6" t="s">
        <v>13</v>
      </c>
      <c r="F466" s="17">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6" t="s">
        <v>11</v>
      </c>
      <c r="F467" s="17">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6" t="s">
        <v>11</v>
      </c>
      <c r="F468" s="17">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6" t="s">
        <v>13</v>
      </c>
      <c r="F469" s="17">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6" t="s">
        <v>6</v>
      </c>
      <c r="F470" s="17">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6" t="s">
        <v>9</v>
      </c>
      <c r="F471" s="17">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6" t="s">
        <v>11</v>
      </c>
      <c r="F472" s="17">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6" t="s">
        <v>13</v>
      </c>
      <c r="F473" s="17">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6" t="s">
        <v>13</v>
      </c>
      <c r="F474" s="17">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6" t="s">
        <v>11</v>
      </c>
      <c r="F475" s="17">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6" t="s">
        <v>13</v>
      </c>
      <c r="F476" s="17">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6" t="s">
        <v>9</v>
      </c>
      <c r="F477" s="17">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6" t="s">
        <v>13</v>
      </c>
      <c r="F478" s="17">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6" t="s">
        <v>11</v>
      </c>
      <c r="F479" s="17">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6" t="s">
        <v>9</v>
      </c>
      <c r="F480" s="17">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6" t="s">
        <v>13</v>
      </c>
      <c r="F481" s="17">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6" t="s">
        <v>6</v>
      </c>
      <c r="F482" s="17">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6" t="s">
        <v>6</v>
      </c>
      <c r="F483" s="17">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6" t="s">
        <v>11</v>
      </c>
      <c r="F484" s="17">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6" t="s">
        <v>6</v>
      </c>
      <c r="F485" s="17">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6" t="s">
        <v>6</v>
      </c>
      <c r="F486" s="17">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6" t="s">
        <v>11</v>
      </c>
      <c r="F487" s="17">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6" t="s">
        <v>13</v>
      </c>
      <c r="F488" s="17">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6" t="s">
        <v>6</v>
      </c>
      <c r="F489" s="17">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6" t="s">
        <v>6</v>
      </c>
      <c r="F490" s="17">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6" t="s">
        <v>11</v>
      </c>
      <c r="F491" s="17">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6" t="s">
        <v>13</v>
      </c>
      <c r="F492" s="17">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6" t="s">
        <v>13</v>
      </c>
      <c r="F493" s="17">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6" t="s">
        <v>13</v>
      </c>
      <c r="F494" s="17">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6" t="s">
        <v>10</v>
      </c>
      <c r="F495" s="17">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6" t="s">
        <v>6</v>
      </c>
      <c r="F496" s="17">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6" t="s">
        <v>9</v>
      </c>
      <c r="F497" s="17">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6" t="s">
        <v>13</v>
      </c>
      <c r="F498" s="17">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6" t="s">
        <v>6</v>
      </c>
      <c r="F499" s="17">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6" t="s">
        <v>6</v>
      </c>
      <c r="F500" s="17">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6" t="s">
        <v>6</v>
      </c>
      <c r="F501" s="17">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6" t="s">
        <v>6</v>
      </c>
      <c r="F502" s="17">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6" t="s">
        <v>13</v>
      </c>
      <c r="F503" s="17">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6" t="s">
        <v>11</v>
      </c>
      <c r="F504" s="17">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6" t="s">
        <v>10</v>
      </c>
      <c r="F505" s="17">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6" t="s">
        <v>10</v>
      </c>
      <c r="F506" s="17">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6" t="s">
        <v>9</v>
      </c>
      <c r="F507" s="17">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6" t="s">
        <v>11</v>
      </c>
      <c r="F508" s="17">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6" t="s">
        <v>13</v>
      </c>
      <c r="F509" s="17">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6" t="s">
        <v>13</v>
      </c>
      <c r="F510" s="17">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6" t="s">
        <v>11</v>
      </c>
      <c r="F511" s="17">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6" t="s">
        <v>10</v>
      </c>
      <c r="F512" s="17">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6" t="s">
        <v>6</v>
      </c>
      <c r="F513" s="17">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6" t="s">
        <v>13</v>
      </c>
      <c r="F514" s="17">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6" t="s">
        <v>10</v>
      </c>
      <c r="F515" s="17">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6" t="s">
        <v>11</v>
      </c>
      <c r="F516" s="17">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6" t="s">
        <v>6</v>
      </c>
      <c r="F517" s="17">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6" t="s">
        <v>9</v>
      </c>
      <c r="F518" s="17">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6" t="s">
        <v>10</v>
      </c>
      <c r="F519" s="17">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6" t="s">
        <v>6</v>
      </c>
      <c r="F520" s="17">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6" t="s">
        <v>6</v>
      </c>
      <c r="F521" s="17">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6" t="s">
        <v>9</v>
      </c>
      <c r="F522" s="17">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6" t="s">
        <v>9</v>
      </c>
      <c r="F523" s="17">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6" t="s">
        <v>9</v>
      </c>
      <c r="F524" s="17">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6" t="s">
        <v>6</v>
      </c>
      <c r="F525" s="17">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6" t="s">
        <v>11</v>
      </c>
      <c r="F526" s="17">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6" t="s">
        <v>6</v>
      </c>
      <c r="F527" s="17">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6" t="s">
        <v>9</v>
      </c>
      <c r="F528" s="17">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6" t="s">
        <v>6</v>
      </c>
      <c r="F529" s="17">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6" t="s">
        <v>11</v>
      </c>
      <c r="F530" s="17">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6" t="s">
        <v>11</v>
      </c>
      <c r="F531" s="17">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6" t="s">
        <v>9</v>
      </c>
      <c r="F532" s="17">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6" t="s">
        <v>9</v>
      </c>
      <c r="F533" s="17">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6" t="s">
        <v>6</v>
      </c>
      <c r="F534" s="17">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6" t="s">
        <v>11</v>
      </c>
      <c r="F535" s="17">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6" t="s">
        <v>6</v>
      </c>
      <c r="F536" s="17">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6" t="s">
        <v>10</v>
      </c>
      <c r="F537" s="17">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6" t="s">
        <v>6</v>
      </c>
      <c r="F538" s="17">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6" t="s">
        <v>6</v>
      </c>
      <c r="F539" s="17">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6" t="s">
        <v>11</v>
      </c>
      <c r="F540" s="17">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6" t="s">
        <v>13</v>
      </c>
      <c r="F541" s="17">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6" t="s">
        <v>10</v>
      </c>
      <c r="F542" s="17">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6" t="s">
        <v>11</v>
      </c>
      <c r="F543" s="17">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6" t="s">
        <v>6</v>
      </c>
      <c r="F544" s="17">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6" t="s">
        <v>10</v>
      </c>
      <c r="F545" s="17">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6" t="s">
        <v>10</v>
      </c>
      <c r="F546" s="17">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6" t="s">
        <v>11</v>
      </c>
      <c r="F547" s="17">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6" t="s">
        <v>9</v>
      </c>
      <c r="F548" s="17">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6" t="s">
        <v>6</v>
      </c>
      <c r="F549" s="17">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6" t="s">
        <v>13</v>
      </c>
      <c r="F550" s="17">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6" t="s">
        <v>6</v>
      </c>
      <c r="F551" s="17">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6" t="s">
        <v>11</v>
      </c>
      <c r="F552" s="17">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6" t="s">
        <v>10</v>
      </c>
      <c r="F553" s="17">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6" t="s">
        <v>11</v>
      </c>
      <c r="F554" s="17">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6" t="s">
        <v>6</v>
      </c>
      <c r="F555" s="17">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6" t="s">
        <v>13</v>
      </c>
      <c r="F556" s="17">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6" t="s">
        <v>6</v>
      </c>
      <c r="F557" s="17">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6" t="s">
        <v>13</v>
      </c>
      <c r="F558" s="17">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6" t="s">
        <v>6</v>
      </c>
      <c r="F559" s="17">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6" t="s">
        <v>11</v>
      </c>
      <c r="F560" s="17">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6" t="s">
        <v>13</v>
      </c>
      <c r="F561" s="17">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6" t="s">
        <v>9</v>
      </c>
      <c r="F562" s="17">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6" t="s">
        <v>9</v>
      </c>
      <c r="F563" s="17">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6" t="s">
        <v>6</v>
      </c>
      <c r="F564" s="17">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6" t="s">
        <v>11</v>
      </c>
      <c r="F565" s="17">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6" t="s">
        <v>10</v>
      </c>
      <c r="F566" s="17">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6" t="s">
        <v>10</v>
      </c>
      <c r="F567" s="17">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6" t="s">
        <v>11</v>
      </c>
      <c r="F568" s="17">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6" t="s">
        <v>9</v>
      </c>
      <c r="F569" s="17">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6" t="s">
        <v>10</v>
      </c>
      <c r="F570" s="17">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6" t="s">
        <v>6</v>
      </c>
      <c r="F571" s="17">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6" t="s">
        <v>10</v>
      </c>
      <c r="F572" s="17">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6" t="s">
        <v>13</v>
      </c>
      <c r="F573" s="17">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6" t="s">
        <v>11</v>
      </c>
      <c r="F574" s="17">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6" t="s">
        <v>6</v>
      </c>
      <c r="F575" s="17">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6" t="s">
        <v>11</v>
      </c>
      <c r="F576" s="17">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6" t="s">
        <v>9</v>
      </c>
      <c r="F577" s="17">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6" t="s">
        <v>10</v>
      </c>
      <c r="F578" s="17">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6" t="s">
        <v>6</v>
      </c>
      <c r="F579" s="17">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6" t="s">
        <v>11</v>
      </c>
      <c r="F580" s="17">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6" t="s">
        <v>13</v>
      </c>
      <c r="F581" s="17">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6" t="s">
        <v>9</v>
      </c>
      <c r="F582" s="17">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6" t="s">
        <v>13</v>
      </c>
      <c r="F583" s="17">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6" t="s">
        <v>9</v>
      </c>
      <c r="F584" s="17">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6" t="s">
        <v>10</v>
      </c>
      <c r="F585" s="17">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6" t="s">
        <v>10</v>
      </c>
      <c r="F586" s="17">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6" t="s">
        <v>13</v>
      </c>
      <c r="F587" s="17">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6" t="s">
        <v>13</v>
      </c>
      <c r="F588" s="17">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6" t="s">
        <v>13</v>
      </c>
      <c r="F589" s="17">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6" t="s">
        <v>10</v>
      </c>
      <c r="F590" s="17">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6" t="s">
        <v>13</v>
      </c>
      <c r="F591" s="17">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6" t="s">
        <v>13</v>
      </c>
      <c r="F592" s="17">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6" t="s">
        <v>10</v>
      </c>
      <c r="F593" s="17">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6" t="s">
        <v>11</v>
      </c>
      <c r="F594" s="17">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6" t="s">
        <v>9</v>
      </c>
      <c r="F595" s="17">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6" t="s">
        <v>9</v>
      </c>
      <c r="F596" s="17">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6" t="s">
        <v>13</v>
      </c>
      <c r="F597" s="17">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6" t="s">
        <v>6</v>
      </c>
      <c r="F598" s="17">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6" t="s">
        <v>10</v>
      </c>
      <c r="F599" s="17">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6" t="s">
        <v>13</v>
      </c>
      <c r="F600" s="17">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6" t="s">
        <v>13</v>
      </c>
      <c r="F601" s="17">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6" t="s">
        <v>10</v>
      </c>
      <c r="F602" s="17">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6" t="s">
        <v>11</v>
      </c>
      <c r="F603" s="17">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6" t="s">
        <v>9</v>
      </c>
      <c r="F604" s="17">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6" t="s">
        <v>13</v>
      </c>
      <c r="F605" s="17">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6" t="s">
        <v>11</v>
      </c>
      <c r="F606" s="17">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6" t="s">
        <v>11</v>
      </c>
      <c r="F607" s="17">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6" t="s">
        <v>10</v>
      </c>
      <c r="F608" s="17">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6" t="s">
        <v>10</v>
      </c>
      <c r="F609" s="17">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6" t="s">
        <v>13</v>
      </c>
      <c r="F610" s="17">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6" t="s">
        <v>6</v>
      </c>
      <c r="F611" s="17">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6" t="s">
        <v>6</v>
      </c>
      <c r="F612" s="17">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6" t="s">
        <v>6</v>
      </c>
      <c r="F613" s="17">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6" t="s">
        <v>11</v>
      </c>
      <c r="F614" s="17">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6" t="s">
        <v>9</v>
      </c>
      <c r="F615" s="17">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6" t="s">
        <v>9</v>
      </c>
      <c r="F616" s="17">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6" t="s">
        <v>6</v>
      </c>
      <c r="F617" s="17">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6" t="s">
        <v>13</v>
      </c>
      <c r="F618" s="17">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6" t="s">
        <v>9</v>
      </c>
      <c r="F619" s="17">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6" t="s">
        <v>11</v>
      </c>
      <c r="F620" s="17">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6" t="s">
        <v>10</v>
      </c>
      <c r="F621" s="17">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6" t="s">
        <v>11</v>
      </c>
      <c r="F622" s="17">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6" t="s">
        <v>13</v>
      </c>
      <c r="F623" s="17">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6" t="s">
        <v>11</v>
      </c>
      <c r="F624" s="17">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6" t="s">
        <v>11</v>
      </c>
      <c r="F625" s="17">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6" t="s">
        <v>11</v>
      </c>
      <c r="F626" s="17">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6" t="s">
        <v>13</v>
      </c>
      <c r="F627" s="17">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6" t="s">
        <v>13</v>
      </c>
      <c r="F628" s="17">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6" t="s">
        <v>6</v>
      </c>
      <c r="F629" s="17">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6" t="s">
        <v>6</v>
      </c>
      <c r="F630" s="17">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6" t="s">
        <v>10</v>
      </c>
      <c r="F631" s="17">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6" t="s">
        <v>11</v>
      </c>
      <c r="F632" s="17">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6" t="s">
        <v>13</v>
      </c>
      <c r="F633" s="17">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6" t="s">
        <v>9</v>
      </c>
      <c r="F634" s="17">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6" t="s">
        <v>13</v>
      </c>
      <c r="F635" s="17">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6" t="s">
        <v>11</v>
      </c>
      <c r="F636" s="17">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6" t="s">
        <v>11</v>
      </c>
      <c r="F637" s="17">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6" t="s">
        <v>11</v>
      </c>
      <c r="F638" s="17">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6" t="s">
        <v>10</v>
      </c>
      <c r="F639" s="17">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6" t="s">
        <v>9</v>
      </c>
      <c r="F640" s="17">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6" t="s">
        <v>6</v>
      </c>
      <c r="F641" s="17">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6" t="s">
        <v>6</v>
      </c>
      <c r="F642" s="17">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6" t="s">
        <v>6</v>
      </c>
      <c r="F643" s="17">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6" t="s">
        <v>10</v>
      </c>
      <c r="F644" s="17">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6" t="s">
        <v>10</v>
      </c>
      <c r="F645" s="17">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6" t="s">
        <v>13</v>
      </c>
      <c r="F646" s="17">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6" t="s">
        <v>13</v>
      </c>
      <c r="F647" s="17">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6" t="s">
        <v>13</v>
      </c>
      <c r="F648" s="17">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6" t="s">
        <v>13</v>
      </c>
      <c r="F649" s="17">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6" t="s">
        <v>6</v>
      </c>
      <c r="F650" s="17">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6" t="s">
        <v>11</v>
      </c>
      <c r="F651" s="17">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6" t="s">
        <v>10</v>
      </c>
      <c r="F652" s="17">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6" t="s">
        <v>9</v>
      </c>
      <c r="F653" s="17">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6" t="s">
        <v>10</v>
      </c>
      <c r="F654" s="17">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6" t="s">
        <v>6</v>
      </c>
      <c r="F655" s="17">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6" t="s">
        <v>9</v>
      </c>
      <c r="F656" s="17">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6" t="s">
        <v>6</v>
      </c>
      <c r="F657" s="17">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6" t="s">
        <v>9</v>
      </c>
      <c r="F658" s="17">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6" t="s">
        <v>13</v>
      </c>
      <c r="F659" s="17">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6" t="s">
        <v>9</v>
      </c>
      <c r="F660" s="17">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6" t="s">
        <v>13</v>
      </c>
      <c r="F661" s="17">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6" t="s">
        <v>11</v>
      </c>
      <c r="F662" s="17">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6" t="s">
        <v>11</v>
      </c>
      <c r="F663" s="17">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6" t="s">
        <v>6</v>
      </c>
      <c r="F664" s="17">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6" t="s">
        <v>9</v>
      </c>
      <c r="F665" s="17">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6" t="s">
        <v>9</v>
      </c>
      <c r="F666" s="17">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6" t="s">
        <v>10</v>
      </c>
      <c r="F667" s="17">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6" t="s">
        <v>6</v>
      </c>
      <c r="F668" s="17">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6" t="s">
        <v>6</v>
      </c>
      <c r="F669" s="17">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6" t="s">
        <v>6</v>
      </c>
      <c r="F670" s="17">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6" t="s">
        <v>13</v>
      </c>
      <c r="F671" s="17">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6" t="s">
        <v>9</v>
      </c>
      <c r="F672" s="17">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6" t="s">
        <v>10</v>
      </c>
      <c r="F673" s="17">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6" t="s">
        <v>9</v>
      </c>
      <c r="F674" s="17">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6" t="s">
        <v>13</v>
      </c>
      <c r="F675" s="17">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6" t="s">
        <v>10</v>
      </c>
      <c r="F676" s="17">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6" t="s">
        <v>13</v>
      </c>
      <c r="F677" s="17">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6" t="s">
        <v>11</v>
      </c>
      <c r="F678" s="17">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6" t="s">
        <v>11</v>
      </c>
      <c r="F679" s="17">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6" t="s">
        <v>10</v>
      </c>
      <c r="F680" s="17">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6" t="s">
        <v>11</v>
      </c>
      <c r="F681" s="17">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6" t="s">
        <v>6</v>
      </c>
      <c r="F682" s="17">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6" t="s">
        <v>9</v>
      </c>
      <c r="F683" s="17">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6" t="s">
        <v>13</v>
      </c>
      <c r="F684" s="17">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6" t="s">
        <v>13</v>
      </c>
      <c r="F685" s="17">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6" t="s">
        <v>13</v>
      </c>
      <c r="F686" s="17">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6" t="s">
        <v>9</v>
      </c>
      <c r="F687" s="17">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6" t="s">
        <v>11</v>
      </c>
      <c r="F688" s="17">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6" t="s">
        <v>13</v>
      </c>
      <c r="F689" s="17">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6" t="s">
        <v>9</v>
      </c>
      <c r="F690" s="17">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6" t="s">
        <v>9</v>
      </c>
      <c r="F691" s="17">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6" t="s">
        <v>6</v>
      </c>
      <c r="F692" s="17">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6" t="s">
        <v>13</v>
      </c>
      <c r="F693" s="17">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6" t="s">
        <v>11</v>
      </c>
      <c r="F694" s="17">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6" t="s">
        <v>6</v>
      </c>
      <c r="F695" s="17">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6" t="s">
        <v>13</v>
      </c>
      <c r="F696" s="17">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6" t="s">
        <v>13</v>
      </c>
      <c r="F697" s="17">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6" t="s">
        <v>6</v>
      </c>
      <c r="F698" s="17">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6" t="s">
        <v>10</v>
      </c>
      <c r="F699" s="17">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6" t="s">
        <v>6</v>
      </c>
      <c r="F700" s="17">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6" t="s">
        <v>9</v>
      </c>
      <c r="F701" s="17">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6" t="s">
        <v>10</v>
      </c>
      <c r="F702" s="17">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6" t="s">
        <v>9</v>
      </c>
      <c r="F703" s="17">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6" t="s">
        <v>10</v>
      </c>
      <c r="F704" s="17">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6" t="s">
        <v>6</v>
      </c>
      <c r="F705" s="17">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6" t="s">
        <v>13</v>
      </c>
      <c r="F706" s="17">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6" t="s">
        <v>9</v>
      </c>
      <c r="F707" s="17">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6" t="s">
        <v>9</v>
      </c>
      <c r="F708" s="17">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6" t="s">
        <v>10</v>
      </c>
      <c r="F709" s="17">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6" t="s">
        <v>11</v>
      </c>
      <c r="F710" s="17">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6" t="s">
        <v>13</v>
      </c>
      <c r="F711" s="17">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6" t="s">
        <v>13</v>
      </c>
      <c r="F712" s="17">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6" t="s">
        <v>10</v>
      </c>
      <c r="F713" s="17">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6" t="s">
        <v>13</v>
      </c>
      <c r="F714" s="17">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6" t="s">
        <v>10</v>
      </c>
      <c r="F715" s="17">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6" t="s">
        <v>6</v>
      </c>
      <c r="F716" s="17">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6" t="s">
        <v>6</v>
      </c>
      <c r="F717" s="17">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6" t="s">
        <v>11</v>
      </c>
      <c r="F718" s="17">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6" t="s">
        <v>9</v>
      </c>
      <c r="F719" s="17">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6" t="s">
        <v>6</v>
      </c>
      <c r="F720" s="17">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6" t="s">
        <v>10</v>
      </c>
      <c r="F721" s="17">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6" t="s">
        <v>6</v>
      </c>
      <c r="F722" s="17">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6" t="s">
        <v>13</v>
      </c>
      <c r="F723" s="17">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6" t="s">
        <v>9</v>
      </c>
      <c r="F724" s="17">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6" t="s">
        <v>11</v>
      </c>
      <c r="F725" s="17">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6" t="s">
        <v>10</v>
      </c>
      <c r="F726" s="17">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6" t="s">
        <v>6</v>
      </c>
      <c r="F727" s="17">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6" t="s">
        <v>9</v>
      </c>
      <c r="F728" s="17">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6" t="s">
        <v>9</v>
      </c>
      <c r="F729" s="17">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6" t="s">
        <v>9</v>
      </c>
      <c r="F730" s="17">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6" t="s">
        <v>6</v>
      </c>
      <c r="F731" s="17">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6" t="s">
        <v>9</v>
      </c>
      <c r="F732" s="17">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6" t="s">
        <v>6</v>
      </c>
      <c r="F733" s="17">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6" t="s">
        <v>6</v>
      </c>
      <c r="F734" s="17">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6" t="s">
        <v>11</v>
      </c>
      <c r="F735" s="17">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6" t="s">
        <v>11</v>
      </c>
      <c r="F736" s="17">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6" t="s">
        <v>10</v>
      </c>
      <c r="F737" s="17">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6" t="s">
        <v>9</v>
      </c>
      <c r="F738" s="17">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6" t="s">
        <v>10</v>
      </c>
      <c r="F739" s="17">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6" t="s">
        <v>6</v>
      </c>
      <c r="F740" s="17">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6" t="s">
        <v>10</v>
      </c>
      <c r="F741" s="17">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6" t="s">
        <v>9</v>
      </c>
      <c r="F742" s="17">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6" t="s">
        <v>10</v>
      </c>
      <c r="F743" s="17">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6" t="s">
        <v>9</v>
      </c>
      <c r="F744" s="17">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6" t="s">
        <v>10</v>
      </c>
      <c r="F745" s="17">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6" t="s">
        <v>11</v>
      </c>
      <c r="F746" s="17">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6" t="s">
        <v>10</v>
      </c>
      <c r="F747" s="17">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6" t="s">
        <v>11</v>
      </c>
      <c r="F748" s="17">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6" t="s">
        <v>10</v>
      </c>
      <c r="F749" s="17">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6" t="s">
        <v>11</v>
      </c>
      <c r="F750" s="17">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6" t="s">
        <v>10</v>
      </c>
      <c r="F751" s="17">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6" t="s">
        <v>10</v>
      </c>
      <c r="F752" s="17">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6" t="s">
        <v>13</v>
      </c>
      <c r="F753" s="17">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6" t="s">
        <v>9</v>
      </c>
      <c r="F754" s="17">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6" t="s">
        <v>6</v>
      </c>
      <c r="F755" s="17">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6" t="s">
        <v>6</v>
      </c>
      <c r="F756" s="17">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6" t="s">
        <v>11</v>
      </c>
      <c r="F757" s="17">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6" t="s">
        <v>10</v>
      </c>
      <c r="F758" s="17">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6" t="s">
        <v>9</v>
      </c>
      <c r="F759" s="17">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6" t="s">
        <v>13</v>
      </c>
      <c r="F760" s="17">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6" t="s">
        <v>13</v>
      </c>
      <c r="F761" s="17">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6" t="s">
        <v>9</v>
      </c>
      <c r="F762" s="17">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6" t="s">
        <v>13</v>
      </c>
      <c r="F763" s="17">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6" t="s">
        <v>9</v>
      </c>
      <c r="F764" s="17">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6" t="s">
        <v>13</v>
      </c>
      <c r="F765" s="17">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6" t="s">
        <v>10</v>
      </c>
      <c r="F766" s="17">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6" t="s">
        <v>13</v>
      </c>
      <c r="F767" s="17">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6" t="s">
        <v>9</v>
      </c>
      <c r="F768" s="17">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6" t="s">
        <v>11</v>
      </c>
      <c r="F769" s="17">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6" t="s">
        <v>9</v>
      </c>
      <c r="F770" s="17">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6" t="s">
        <v>9</v>
      </c>
      <c r="F771" s="17">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6" t="s">
        <v>13</v>
      </c>
      <c r="F772" s="17">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6" t="s">
        <v>6</v>
      </c>
      <c r="F773" s="17">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6" t="s">
        <v>10</v>
      </c>
      <c r="F774" s="17">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6" t="s">
        <v>10</v>
      </c>
      <c r="F775" s="17">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6" t="s">
        <v>10</v>
      </c>
      <c r="F776" s="17">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6" t="s">
        <v>11</v>
      </c>
      <c r="F777" s="17">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6" t="s">
        <v>13</v>
      </c>
      <c r="F778" s="17">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6" t="s">
        <v>6</v>
      </c>
      <c r="F779" s="17">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6" t="s">
        <v>10</v>
      </c>
      <c r="F780" s="17">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6" t="s">
        <v>6</v>
      </c>
      <c r="F781" s="17">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6" t="s">
        <v>13</v>
      </c>
      <c r="F782" s="17">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6" t="s">
        <v>9</v>
      </c>
      <c r="F783" s="17">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6" t="s">
        <v>11</v>
      </c>
      <c r="F784" s="17">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6" t="s">
        <v>6</v>
      </c>
      <c r="F785" s="17">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6" t="s">
        <v>11</v>
      </c>
      <c r="F786" s="17">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6" t="s">
        <v>10</v>
      </c>
      <c r="F787" s="17">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6" t="s">
        <v>10</v>
      </c>
      <c r="F788" s="17">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6" t="s">
        <v>10</v>
      </c>
      <c r="F789" s="17">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6" t="s">
        <v>6</v>
      </c>
      <c r="F790" s="17">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6" t="s">
        <v>11</v>
      </c>
      <c r="F791" s="17">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6" t="s">
        <v>11</v>
      </c>
      <c r="F792" s="17">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6" t="s">
        <v>13</v>
      </c>
      <c r="F793" s="17">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6" t="s">
        <v>10</v>
      </c>
      <c r="F794" s="17">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6" t="s">
        <v>9</v>
      </c>
      <c r="F795" s="17">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6" t="s">
        <v>10</v>
      </c>
      <c r="F796" s="17">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6" t="s">
        <v>13</v>
      </c>
      <c r="F797" s="17">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6" t="s">
        <v>6</v>
      </c>
      <c r="F798" s="17">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6" t="s">
        <v>13</v>
      </c>
      <c r="F799" s="17">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6" t="s">
        <v>9</v>
      </c>
      <c r="F800" s="17">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6" t="s">
        <v>11</v>
      </c>
      <c r="F801" s="17">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6" t="s">
        <v>10</v>
      </c>
      <c r="F802" s="17">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6" t="s">
        <v>6</v>
      </c>
      <c r="F803" s="17">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6" t="s">
        <v>10</v>
      </c>
      <c r="F804" s="17">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6" t="s">
        <v>13</v>
      </c>
      <c r="F805" s="17">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6" t="s">
        <v>10</v>
      </c>
      <c r="F806" s="17">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6" t="s">
        <v>11</v>
      </c>
      <c r="F807" s="17">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6" t="s">
        <v>6</v>
      </c>
      <c r="F808" s="17">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6" t="s">
        <v>6</v>
      </c>
      <c r="F809" s="17">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6" t="s">
        <v>6</v>
      </c>
      <c r="F810" s="17">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6" t="s">
        <v>6</v>
      </c>
      <c r="F811" s="17">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6" t="s">
        <v>11</v>
      </c>
      <c r="F812" s="17">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6" t="s">
        <v>11</v>
      </c>
      <c r="F813" s="17">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6" t="s">
        <v>6</v>
      </c>
      <c r="F814" s="17">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6" t="s">
        <v>6</v>
      </c>
      <c r="F815" s="17">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6" t="s">
        <v>9</v>
      </c>
      <c r="F816" s="17">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6" t="s">
        <v>13</v>
      </c>
      <c r="F817" s="17">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6" t="s">
        <v>6</v>
      </c>
      <c r="F818" s="17">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6" t="s">
        <v>10</v>
      </c>
      <c r="F819" s="17">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6" t="s">
        <v>6</v>
      </c>
      <c r="F820" s="17">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6" t="s">
        <v>9</v>
      </c>
      <c r="F821" s="17">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6" t="s">
        <v>9</v>
      </c>
      <c r="F822" s="17">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6" t="s">
        <v>13</v>
      </c>
      <c r="F823" s="17">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6" t="s">
        <v>11</v>
      </c>
      <c r="F824" s="17">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6" t="s">
        <v>6</v>
      </c>
      <c r="F825" s="17">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6" t="s">
        <v>9</v>
      </c>
      <c r="F826" s="17">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6" t="s">
        <v>13</v>
      </c>
      <c r="F827" s="17">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6" t="s">
        <v>10</v>
      </c>
      <c r="F828" s="17">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6" t="s">
        <v>9</v>
      </c>
      <c r="F829" s="17">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6" t="s">
        <v>6</v>
      </c>
      <c r="F830" s="17">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6" t="s">
        <v>10</v>
      </c>
      <c r="F831" s="17">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6" t="s">
        <v>11</v>
      </c>
      <c r="F832" s="17">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6" t="s">
        <v>11</v>
      </c>
      <c r="F833" s="17">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6" t="s">
        <v>11</v>
      </c>
      <c r="F834" s="17">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6" t="s">
        <v>10</v>
      </c>
      <c r="F835" s="17">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6" t="s">
        <v>6</v>
      </c>
      <c r="F836" s="17">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6" t="s">
        <v>9</v>
      </c>
      <c r="F837" s="17">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6" t="s">
        <v>6</v>
      </c>
      <c r="F838" s="17">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6" t="s">
        <v>11</v>
      </c>
      <c r="F839" s="17">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6" t="s">
        <v>9</v>
      </c>
      <c r="F840" s="17">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6" t="s">
        <v>6</v>
      </c>
      <c r="F841" s="17">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6" t="s">
        <v>9</v>
      </c>
      <c r="F842" s="17">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6" t="s">
        <v>6</v>
      </c>
      <c r="F843" s="17">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6" t="s">
        <v>9</v>
      </c>
      <c r="F844" s="17">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6" t="s">
        <v>6</v>
      </c>
      <c r="F845" s="17">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6" t="s">
        <v>13</v>
      </c>
      <c r="F846" s="17">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6" t="s">
        <v>10</v>
      </c>
      <c r="F847" s="17">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6" t="s">
        <v>6</v>
      </c>
      <c r="F848" s="17">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6" t="s">
        <v>6</v>
      </c>
      <c r="F849" s="17">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6" t="s">
        <v>11</v>
      </c>
      <c r="F850" s="17">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6" t="s">
        <v>6</v>
      </c>
      <c r="F851" s="17">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6" t="s">
        <v>11</v>
      </c>
      <c r="F852" s="17">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6" t="s">
        <v>9</v>
      </c>
      <c r="F853" s="17">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6" t="s">
        <v>13</v>
      </c>
      <c r="F854" s="17">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6" t="s">
        <v>11</v>
      </c>
      <c r="F855" s="17">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6" t="s">
        <v>9</v>
      </c>
      <c r="F856" s="17">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6" t="s">
        <v>6</v>
      </c>
      <c r="F857" s="17">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6" t="s">
        <v>6</v>
      </c>
      <c r="F858" s="17">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6" t="s">
        <v>13</v>
      </c>
      <c r="F859" s="17">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6" t="s">
        <v>11</v>
      </c>
      <c r="F860" s="17">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6" t="s">
        <v>10</v>
      </c>
      <c r="F861" s="17">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6" t="s">
        <v>11</v>
      </c>
      <c r="F862" s="17">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6" t="s">
        <v>11</v>
      </c>
      <c r="F863" s="17">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6" t="s">
        <v>13</v>
      </c>
      <c r="F864" s="17">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6" t="s">
        <v>9</v>
      </c>
      <c r="F865" s="17">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6" t="s">
        <v>6</v>
      </c>
      <c r="F866" s="17">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6" t="s">
        <v>10</v>
      </c>
      <c r="F867" s="17">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6" t="s">
        <v>13</v>
      </c>
      <c r="F868" s="17">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6" t="s">
        <v>6</v>
      </c>
      <c r="F869" s="17">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6" t="s">
        <v>10</v>
      </c>
      <c r="F870" s="17">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6" t="s">
        <v>9</v>
      </c>
      <c r="F871" s="17">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6" t="s">
        <v>9</v>
      </c>
      <c r="F872" s="17">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6" t="s">
        <v>9</v>
      </c>
      <c r="F873" s="17">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6" t="s">
        <v>9</v>
      </c>
      <c r="F874" s="17">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6" t="s">
        <v>10</v>
      </c>
      <c r="F875" s="17">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6" t="s">
        <v>11</v>
      </c>
      <c r="F876" s="17">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6" t="s">
        <v>10</v>
      </c>
      <c r="F877" s="17">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6" t="s">
        <v>10</v>
      </c>
      <c r="F878" s="17">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6" t="s">
        <v>10</v>
      </c>
      <c r="F879" s="17">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6" t="s">
        <v>11</v>
      </c>
      <c r="F880" s="17">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6" t="s">
        <v>11</v>
      </c>
      <c r="F881" s="17">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6" t="s">
        <v>13</v>
      </c>
      <c r="F882" s="17">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6" t="s">
        <v>11</v>
      </c>
      <c r="F883" s="17">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6" t="s">
        <v>11</v>
      </c>
      <c r="F884" s="17">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6" t="s">
        <v>6</v>
      </c>
      <c r="F885" s="17">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6" t="s">
        <v>13</v>
      </c>
      <c r="F886" s="17">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6" t="s">
        <v>9</v>
      </c>
      <c r="F887" s="17">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6" t="s">
        <v>10</v>
      </c>
      <c r="F888" s="17">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6" t="s">
        <v>9</v>
      </c>
      <c r="F889" s="17">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6" t="s">
        <v>6</v>
      </c>
      <c r="F890" s="17">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6" t="s">
        <v>10</v>
      </c>
      <c r="F891" s="17">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6" t="s">
        <v>10</v>
      </c>
      <c r="F892" s="17">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6" t="s">
        <v>6</v>
      </c>
      <c r="F893" s="17">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6" t="s">
        <v>13</v>
      </c>
      <c r="F894" s="17">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6" t="s">
        <v>9</v>
      </c>
      <c r="F895" s="17">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6" t="s">
        <v>13</v>
      </c>
      <c r="F896" s="17">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6" t="s">
        <v>6</v>
      </c>
      <c r="F897" s="17">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6" t="s">
        <v>10</v>
      </c>
      <c r="F898" s="17">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6" t="s">
        <v>11</v>
      </c>
      <c r="F899" s="17">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6" t="s">
        <v>9</v>
      </c>
      <c r="F900" s="17">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6" t="s">
        <v>13</v>
      </c>
      <c r="F901" s="17">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6" t="s">
        <v>6</v>
      </c>
      <c r="F902" s="17">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6" t="s">
        <v>10</v>
      </c>
      <c r="F903" s="17">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6" t="s">
        <v>6</v>
      </c>
      <c r="F904" s="17">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6" t="s">
        <v>9</v>
      </c>
      <c r="F905" s="17">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6" t="s">
        <v>11</v>
      </c>
      <c r="F906" s="17">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6" t="s">
        <v>13</v>
      </c>
      <c r="F907" s="17">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6" t="s">
        <v>10</v>
      </c>
      <c r="F908" s="17">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6" t="s">
        <v>9</v>
      </c>
      <c r="F909" s="17">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6" t="s">
        <v>13</v>
      </c>
      <c r="F910" s="17">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6" t="s">
        <v>9</v>
      </c>
      <c r="F911" s="17">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6" t="s">
        <v>13</v>
      </c>
      <c r="F912" s="17">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6" t="s">
        <v>10</v>
      </c>
      <c r="F913" s="17">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6" t="s">
        <v>10</v>
      </c>
      <c r="F914" s="17">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6" t="s">
        <v>6</v>
      </c>
      <c r="F915" s="17">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6" t="s">
        <v>10</v>
      </c>
      <c r="F916" s="17">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6" t="s">
        <v>11</v>
      </c>
      <c r="F917" s="17">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6" t="s">
        <v>10</v>
      </c>
      <c r="F918" s="17">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6" t="s">
        <v>9</v>
      </c>
      <c r="F919" s="17">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6" t="s">
        <v>6</v>
      </c>
      <c r="F920" s="17">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6" t="s">
        <v>9</v>
      </c>
      <c r="F921" s="17">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6" t="s">
        <v>10</v>
      </c>
      <c r="F922" s="17">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6" t="s">
        <v>6</v>
      </c>
      <c r="F923" s="17">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6" t="s">
        <v>6</v>
      </c>
      <c r="F924" s="17">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6" t="s">
        <v>9</v>
      </c>
      <c r="F925" s="17">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6" t="s">
        <v>9</v>
      </c>
      <c r="F926" s="17">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6" t="s">
        <v>10</v>
      </c>
      <c r="F927" s="17">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6" t="s">
        <v>6</v>
      </c>
      <c r="F928" s="17">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6" t="s">
        <v>10</v>
      </c>
      <c r="F929" s="17">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6" t="s">
        <v>9</v>
      </c>
      <c r="F930" s="17">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6" t="s">
        <v>11</v>
      </c>
      <c r="F931" s="17">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6" t="s">
        <v>6</v>
      </c>
      <c r="F932" s="17">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6" t="s">
        <v>11</v>
      </c>
      <c r="F933" s="17">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6" t="s">
        <v>6</v>
      </c>
      <c r="F934" s="17">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6" t="s">
        <v>9</v>
      </c>
      <c r="F935" s="17">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6" t="s">
        <v>6</v>
      </c>
      <c r="F936" s="17">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6" t="s">
        <v>6</v>
      </c>
      <c r="F937" s="17">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6" t="s">
        <v>11</v>
      </c>
      <c r="F938" s="17">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6" t="s">
        <v>9</v>
      </c>
      <c r="F939" s="17">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6" t="s">
        <v>13</v>
      </c>
      <c r="F940" s="17">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6" t="s">
        <v>6</v>
      </c>
      <c r="F941" s="17">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6" t="s">
        <v>10</v>
      </c>
      <c r="F942" s="17">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6" t="s">
        <v>13</v>
      </c>
      <c r="F943" s="17">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6" t="s">
        <v>11</v>
      </c>
      <c r="F944" s="17">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6" t="s">
        <v>9</v>
      </c>
      <c r="F945" s="17">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6" t="s">
        <v>10</v>
      </c>
      <c r="F946" s="17">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6" t="s">
        <v>9</v>
      </c>
      <c r="F947" s="17">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6" t="s">
        <v>11</v>
      </c>
      <c r="F948" s="17">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6" t="s">
        <v>6</v>
      </c>
      <c r="F949" s="17">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6" t="s">
        <v>11</v>
      </c>
      <c r="F950" s="17">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6" t="s">
        <v>13</v>
      </c>
      <c r="F951" s="17">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6" t="s">
        <v>6</v>
      </c>
      <c r="F952" s="17">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6" t="s">
        <v>13</v>
      </c>
      <c r="F953" s="17">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6" t="s">
        <v>10</v>
      </c>
      <c r="F954" s="17">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6" t="s">
        <v>9</v>
      </c>
      <c r="F955" s="17">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6" t="s">
        <v>10</v>
      </c>
      <c r="F956" s="17">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6" t="s">
        <v>9</v>
      </c>
      <c r="F957" s="17">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6" t="s">
        <v>10</v>
      </c>
      <c r="F958" s="17">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6" t="s">
        <v>6</v>
      </c>
      <c r="F959" s="17">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6" t="s">
        <v>10</v>
      </c>
      <c r="F960" s="17">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6" t="s">
        <v>13</v>
      </c>
      <c r="F961" s="17">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6" t="s">
        <v>13</v>
      </c>
      <c r="F962" s="17">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6" t="s">
        <v>9</v>
      </c>
      <c r="F963" s="17">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6" t="s">
        <v>6</v>
      </c>
      <c r="F964" s="17">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6" t="s">
        <v>9</v>
      </c>
      <c r="F965" s="17">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6" t="s">
        <v>11</v>
      </c>
      <c r="F966" s="17">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6" t="s">
        <v>6</v>
      </c>
      <c r="F967" s="17">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6" t="s">
        <v>9</v>
      </c>
      <c r="F968" s="17">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6" t="s">
        <v>13</v>
      </c>
      <c r="F969" s="17">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6" t="s">
        <v>6</v>
      </c>
      <c r="F970" s="17">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6" t="s">
        <v>13</v>
      </c>
      <c r="F971" s="17">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6" t="s">
        <v>9</v>
      </c>
      <c r="F972" s="17">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6" t="s">
        <v>10</v>
      </c>
      <c r="F973" s="17">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6" t="s">
        <v>10</v>
      </c>
      <c r="F974" s="17">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6" t="s">
        <v>10</v>
      </c>
      <c r="F975" s="17">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6" t="s">
        <v>13</v>
      </c>
      <c r="F976" s="17">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6" t="s">
        <v>13</v>
      </c>
      <c r="F977" s="17">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6" t="s">
        <v>11</v>
      </c>
      <c r="F978" s="17">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6" t="s">
        <v>13</v>
      </c>
      <c r="F979" s="17">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6" t="s">
        <v>6</v>
      </c>
      <c r="F980" s="17">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6" t="s">
        <v>11</v>
      </c>
      <c r="F981" s="17">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6" t="s">
        <v>13</v>
      </c>
      <c r="F982" s="17">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6" t="s">
        <v>9</v>
      </c>
      <c r="F983" s="17">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6" t="s">
        <v>13</v>
      </c>
      <c r="F984" s="17">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6" t="s">
        <v>6</v>
      </c>
      <c r="F985" s="17">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6" t="s">
        <v>10</v>
      </c>
      <c r="F986" s="17">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6" t="s">
        <v>10</v>
      </c>
      <c r="F987" s="17">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6" t="s">
        <v>11</v>
      </c>
      <c r="F988" s="17">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6" t="s">
        <v>9</v>
      </c>
      <c r="F989" s="17">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6" t="s">
        <v>13</v>
      </c>
      <c r="F990" s="17">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6" t="s">
        <v>10</v>
      </c>
      <c r="F991" s="17">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6" t="s">
        <v>10</v>
      </c>
      <c r="F992" s="17">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6" t="s">
        <v>6</v>
      </c>
      <c r="F993" s="17">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6" t="s">
        <v>6</v>
      </c>
      <c r="F994" s="17">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6" t="s">
        <v>9</v>
      </c>
      <c r="F995" s="17">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6" t="s">
        <v>11</v>
      </c>
      <c r="F996" s="17">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6" t="s">
        <v>13</v>
      </c>
      <c r="F997" s="17">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6" t="s">
        <v>10</v>
      </c>
      <c r="F998" s="17">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6" t="s">
        <v>10</v>
      </c>
      <c r="F999" s="17">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6" t="s">
        <v>13</v>
      </c>
      <c r="F1000" s="17">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6" t="s">
        <v>10</v>
      </c>
      <c r="F1001" s="17">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6" t="s">
        <v>10</v>
      </c>
      <c r="F1002" s="17">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6" t="s">
        <v>11</v>
      </c>
      <c r="F1003" s="17">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mergeCells count="2">
    <mergeCell ref="Q1:T1"/>
    <mergeCell ref="A1:L1"/>
  </mergeCells>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sheetPr>
    <pageSetUpPr autoPageBreaks="0"/>
  </sheetPr>
  <dimension ref="E2:F7"/>
  <sheetViews>
    <sheetView zoomScale="80" zoomScaleNormal="80" workbookViewId="0">
      <selection activeCell="C19" sqref="C19"/>
    </sheetView>
  </sheetViews>
  <sheetFormatPr defaultRowHeight="14.4" x14ac:dyDescent="0.3"/>
  <cols>
    <col min="5" max="5" width="12.8984375" customWidth="1"/>
    <col min="6" max="6" width="18.796875" customWidth="1"/>
    <col min="17" max="17" width="8.796875" customWidth="1"/>
  </cols>
  <sheetData>
    <row r="2" spans="5:6" x14ac:dyDescent="0.3">
      <c r="E2" t="s">
        <v>1040</v>
      </c>
      <c r="F2" t="s">
        <v>1041</v>
      </c>
    </row>
    <row r="3" spans="5:6" ht="106.8" customHeight="1" x14ac:dyDescent="0.3">
      <c r="E3" t="s">
        <v>11</v>
      </c>
      <c r="F3" t="str">
        <f>E3</f>
        <v>R01</v>
      </c>
    </row>
    <row r="4" spans="5:6" ht="84.6" customHeight="1" x14ac:dyDescent="0.3">
      <c r="E4" t="s">
        <v>9</v>
      </c>
      <c r="F4" t="str">
        <f t="shared" ref="F4:F7" si="0">E4</f>
        <v>R02</v>
      </c>
    </row>
    <row r="5" spans="5:6" ht="71.400000000000006" customHeight="1" x14ac:dyDescent="0.3">
      <c r="E5" t="s">
        <v>6</v>
      </c>
      <c r="F5" t="str">
        <f t="shared" si="0"/>
        <v>R03</v>
      </c>
    </row>
    <row r="6" spans="5:6" ht="79.2" customHeight="1" x14ac:dyDescent="0.3">
      <c r="E6" t="s">
        <v>13</v>
      </c>
      <c r="F6" t="str">
        <f t="shared" si="0"/>
        <v>R04</v>
      </c>
    </row>
    <row r="7" spans="5:6" ht="81" customHeight="1" x14ac:dyDescent="0.3">
      <c r="E7" t="s">
        <v>10</v>
      </c>
      <c r="F7" t="str">
        <f t="shared" si="0"/>
        <v>R05</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171F5-FB19-4282-A3BD-2A90B74983AF}">
  <dimension ref="A1:AB45"/>
  <sheetViews>
    <sheetView tabSelected="1" zoomScale="90" zoomScaleNormal="90" workbookViewId="0">
      <selection activeCell="W2" sqref="W2"/>
    </sheetView>
  </sheetViews>
  <sheetFormatPr defaultRowHeight="14.4" x14ac:dyDescent="0.3"/>
  <cols>
    <col min="1" max="1" width="3.796875" customWidth="1"/>
    <col min="15" max="15" width="12.296875" customWidth="1"/>
  </cols>
  <sheetData>
    <row r="1" spans="1:28" ht="42.6" customHeight="1" x14ac:dyDescent="0.55000000000000004">
      <c r="A1" s="40"/>
      <c r="B1" s="49" t="s">
        <v>1085</v>
      </c>
      <c r="C1" s="50"/>
      <c r="D1" s="50"/>
      <c r="E1" s="50"/>
      <c r="F1" s="50"/>
      <c r="G1" s="50"/>
      <c r="H1" s="50"/>
      <c r="I1" s="50"/>
      <c r="J1" s="50"/>
      <c r="K1" s="50"/>
      <c r="L1" s="50"/>
      <c r="M1" s="50"/>
      <c r="N1" s="50"/>
      <c r="O1" s="50"/>
      <c r="P1" s="50"/>
      <c r="Q1" s="50"/>
      <c r="R1" s="50"/>
      <c r="S1" s="50"/>
      <c r="T1" s="50"/>
      <c r="U1" s="40"/>
      <c r="V1" s="24"/>
      <c r="W1" s="24"/>
      <c r="X1" s="24"/>
      <c r="Y1" s="24"/>
      <c r="Z1" s="24"/>
      <c r="AA1" s="24"/>
      <c r="AB1" s="24"/>
    </row>
    <row r="2" spans="1:28" x14ac:dyDescent="0.3">
      <c r="A2" s="40"/>
      <c r="B2" s="40"/>
      <c r="C2" s="40"/>
      <c r="D2" s="40"/>
      <c r="E2" s="40"/>
      <c r="F2" s="40"/>
      <c r="G2" s="40"/>
      <c r="H2" s="40"/>
      <c r="I2" s="40"/>
      <c r="J2" s="40"/>
      <c r="K2" s="40"/>
      <c r="L2" s="40"/>
      <c r="M2" s="40"/>
      <c r="N2" s="40"/>
      <c r="O2" s="40"/>
      <c r="P2" s="40"/>
      <c r="Q2" s="40"/>
      <c r="R2" s="40"/>
      <c r="S2" s="40"/>
      <c r="T2" s="40"/>
      <c r="U2" s="40"/>
      <c r="V2" s="24"/>
      <c r="W2" s="24"/>
      <c r="X2" s="24"/>
      <c r="Y2" s="24"/>
      <c r="Z2" s="24"/>
      <c r="AA2" s="24"/>
      <c r="AB2" s="24"/>
    </row>
    <row r="3" spans="1:28" x14ac:dyDescent="0.3">
      <c r="A3" s="40"/>
      <c r="B3" s="40"/>
      <c r="C3" s="40"/>
      <c r="D3" s="40"/>
      <c r="E3" s="40"/>
      <c r="F3" s="40"/>
      <c r="G3" s="40"/>
      <c r="H3" s="40"/>
      <c r="I3" s="40"/>
      <c r="J3" s="40"/>
      <c r="K3" s="40"/>
      <c r="L3" s="40"/>
      <c r="M3" s="40"/>
      <c r="N3" s="40"/>
      <c r="O3" s="40"/>
      <c r="P3" s="40"/>
      <c r="Q3" s="40"/>
      <c r="R3" s="40"/>
      <c r="S3" s="40"/>
      <c r="T3" s="40"/>
      <c r="U3" s="40"/>
      <c r="V3" s="24"/>
      <c r="W3" s="24"/>
      <c r="X3" s="24"/>
      <c r="Y3" s="24"/>
      <c r="Z3" s="24"/>
      <c r="AA3" s="24"/>
      <c r="AB3" s="24"/>
    </row>
    <row r="4" spans="1:28" x14ac:dyDescent="0.3">
      <c r="A4" s="40"/>
      <c r="B4" s="40"/>
      <c r="C4" s="40"/>
      <c r="D4" s="40"/>
      <c r="E4" s="40"/>
      <c r="F4" s="40"/>
      <c r="G4" s="40"/>
      <c r="H4" s="40"/>
      <c r="I4" s="40"/>
      <c r="J4" s="40"/>
      <c r="K4" s="40"/>
      <c r="L4" s="40"/>
      <c r="M4" s="40"/>
      <c r="N4" s="40"/>
      <c r="O4" s="40"/>
      <c r="P4" s="40"/>
      <c r="Q4" s="40"/>
      <c r="R4" s="40"/>
      <c r="S4" s="40"/>
      <c r="T4" s="40"/>
      <c r="U4" s="40"/>
      <c r="V4" s="24"/>
      <c r="W4" s="24"/>
      <c r="X4" s="24"/>
      <c r="Y4" s="24"/>
      <c r="Z4" s="24"/>
      <c r="AA4" s="24"/>
      <c r="AB4" s="24"/>
    </row>
    <row r="5" spans="1:28" x14ac:dyDescent="0.3">
      <c r="A5" s="40"/>
      <c r="B5" s="40"/>
      <c r="C5" s="40"/>
      <c r="D5" s="40"/>
      <c r="E5" s="40"/>
      <c r="F5" s="40"/>
      <c r="G5" s="40"/>
      <c r="H5" s="40"/>
      <c r="I5" s="40"/>
      <c r="J5" s="40"/>
      <c r="K5" s="40"/>
      <c r="L5" s="40"/>
      <c r="M5" s="40"/>
      <c r="N5" s="40"/>
      <c r="O5" s="40"/>
      <c r="P5" s="40"/>
      <c r="Q5" s="40"/>
      <c r="R5" s="40"/>
      <c r="S5" s="40"/>
      <c r="T5" s="40"/>
      <c r="U5" s="40"/>
      <c r="V5" s="24"/>
      <c r="W5" s="24"/>
      <c r="X5" s="24"/>
      <c r="Y5" s="24"/>
      <c r="Z5" s="24"/>
      <c r="AA5" s="24"/>
      <c r="AB5" s="24"/>
    </row>
    <row r="6" spans="1:28" x14ac:dyDescent="0.3">
      <c r="A6" s="40"/>
      <c r="B6" s="40"/>
      <c r="C6" s="40"/>
      <c r="D6" s="40"/>
      <c r="E6" s="40"/>
      <c r="F6" s="40"/>
      <c r="G6" s="40"/>
      <c r="H6" s="40"/>
      <c r="I6" s="40"/>
      <c r="J6" s="40"/>
      <c r="K6" s="40"/>
      <c r="L6" s="40"/>
      <c r="M6" s="40"/>
      <c r="N6" s="40"/>
      <c r="O6" s="40"/>
      <c r="P6" s="40"/>
      <c r="Q6" s="40"/>
      <c r="R6" s="40"/>
      <c r="S6" s="40"/>
      <c r="T6" s="40"/>
      <c r="U6" s="40"/>
      <c r="V6" s="24"/>
      <c r="W6" s="24"/>
      <c r="X6" s="24"/>
      <c r="Y6" s="24"/>
      <c r="Z6" s="24"/>
      <c r="AA6" s="24"/>
      <c r="AB6" s="24"/>
    </row>
    <row r="7" spans="1:28" x14ac:dyDescent="0.3">
      <c r="A7" s="40"/>
      <c r="B7" s="40"/>
      <c r="C7" s="40"/>
      <c r="D7" s="40"/>
      <c r="E7" s="40"/>
      <c r="F7" s="40"/>
      <c r="G7" s="40"/>
      <c r="H7" s="40"/>
      <c r="I7" s="40"/>
      <c r="J7" s="40"/>
      <c r="K7" s="40"/>
      <c r="L7" s="40"/>
      <c r="M7" s="40"/>
      <c r="N7" s="40"/>
      <c r="O7" s="40"/>
      <c r="P7" s="40"/>
      <c r="Q7" s="40"/>
      <c r="R7" s="40"/>
      <c r="S7" s="40"/>
      <c r="T7" s="40"/>
      <c r="U7" s="40"/>
      <c r="V7" s="24"/>
      <c r="W7" s="24"/>
      <c r="X7" s="24"/>
      <c r="Y7" s="24"/>
      <c r="Z7" s="24"/>
      <c r="AA7" s="24"/>
      <c r="AB7" s="24"/>
    </row>
    <row r="8" spans="1:28" x14ac:dyDescent="0.3">
      <c r="A8" s="40"/>
      <c r="B8" s="40"/>
      <c r="C8" s="40"/>
      <c r="D8" s="40"/>
      <c r="E8" s="40"/>
      <c r="F8" s="40"/>
      <c r="G8" s="40"/>
      <c r="H8" s="40"/>
      <c r="I8" s="40"/>
      <c r="J8" s="40"/>
      <c r="K8" s="40"/>
      <c r="L8" s="40"/>
      <c r="M8" s="40"/>
      <c r="N8" s="40"/>
      <c r="O8" s="40"/>
      <c r="P8" s="40"/>
      <c r="Q8" s="40"/>
      <c r="R8" s="40"/>
      <c r="S8" s="40"/>
      <c r="T8" s="40"/>
      <c r="U8" s="40"/>
      <c r="V8" s="24"/>
      <c r="W8" s="24"/>
      <c r="X8" s="24"/>
      <c r="Y8" s="24"/>
      <c r="Z8" s="24"/>
      <c r="AA8" s="24"/>
      <c r="AB8" s="24"/>
    </row>
    <row r="9" spans="1:28" x14ac:dyDescent="0.3">
      <c r="A9" s="40"/>
      <c r="B9" s="40"/>
      <c r="C9" s="40"/>
      <c r="D9" s="40"/>
      <c r="E9" s="40"/>
      <c r="F9" s="40"/>
      <c r="G9" s="40"/>
      <c r="H9" s="40"/>
      <c r="I9" s="40"/>
      <c r="J9" s="40"/>
      <c r="K9" s="40"/>
      <c r="L9" s="40"/>
      <c r="M9" s="40"/>
      <c r="N9" s="40"/>
      <c r="O9" s="40"/>
      <c r="P9" s="40"/>
      <c r="Q9" s="40"/>
      <c r="R9" s="40"/>
      <c r="S9" s="40"/>
      <c r="T9" s="40"/>
      <c r="U9" s="46"/>
      <c r="V9" s="24"/>
      <c r="W9" s="24"/>
      <c r="X9" s="24"/>
      <c r="Y9" s="24"/>
      <c r="Z9" s="24"/>
      <c r="AA9" s="24"/>
      <c r="AB9" s="24"/>
    </row>
    <row r="10" spans="1:28" x14ac:dyDescent="0.3">
      <c r="A10" s="40"/>
      <c r="B10" s="40"/>
      <c r="C10" s="40"/>
      <c r="D10" s="40"/>
      <c r="E10" s="40"/>
      <c r="F10" s="40"/>
      <c r="G10" s="40"/>
      <c r="H10" s="40"/>
      <c r="I10" s="40"/>
      <c r="J10" s="40"/>
      <c r="K10" s="40"/>
      <c r="L10" s="40"/>
      <c r="M10" s="40"/>
      <c r="N10" s="40"/>
      <c r="O10" s="40"/>
      <c r="P10" s="40"/>
      <c r="Q10" s="40"/>
      <c r="R10" s="40"/>
      <c r="S10" s="40"/>
      <c r="T10" s="40"/>
      <c r="U10" s="40"/>
      <c r="V10" s="24"/>
      <c r="W10" s="24"/>
      <c r="X10" s="24"/>
      <c r="Y10" s="24"/>
      <c r="Z10" s="24"/>
      <c r="AA10" s="24"/>
      <c r="AB10" s="24"/>
    </row>
    <row r="11" spans="1:28" x14ac:dyDescent="0.3">
      <c r="A11" s="40"/>
      <c r="B11" s="40"/>
      <c r="C11" s="40"/>
      <c r="D11" s="40"/>
      <c r="E11" s="40"/>
      <c r="F11" s="40"/>
      <c r="G11" s="40"/>
      <c r="H11" s="40"/>
      <c r="I11" s="40"/>
      <c r="J11" s="40"/>
      <c r="K11" s="40"/>
      <c r="L11" s="40"/>
      <c r="M11" s="40"/>
      <c r="N11" s="40"/>
      <c r="O11" s="40"/>
      <c r="P11" s="40"/>
      <c r="Q11" s="40"/>
      <c r="R11" s="40"/>
      <c r="S11" s="40"/>
      <c r="T11" s="40"/>
      <c r="U11" s="40"/>
      <c r="V11" s="24"/>
      <c r="W11" s="24"/>
      <c r="X11" s="24"/>
      <c r="Y11" s="24"/>
      <c r="Z11" s="24"/>
      <c r="AA11" s="24"/>
      <c r="AB11" s="24"/>
    </row>
    <row r="12" spans="1:28" x14ac:dyDescent="0.3">
      <c r="A12" s="40"/>
      <c r="B12" s="40"/>
      <c r="C12" s="40"/>
      <c r="D12" s="40"/>
      <c r="E12" s="40"/>
      <c r="F12" s="40"/>
      <c r="G12" s="40"/>
      <c r="H12" s="40"/>
      <c r="I12" s="40"/>
      <c r="J12" s="40"/>
      <c r="K12" s="40"/>
      <c r="L12" s="40"/>
      <c r="M12" s="40"/>
      <c r="N12" s="40"/>
      <c r="O12" s="40"/>
      <c r="P12" s="40"/>
      <c r="Q12" s="40"/>
      <c r="R12" s="40"/>
      <c r="S12" s="40"/>
      <c r="T12" s="40"/>
      <c r="U12" s="40"/>
      <c r="V12" s="24"/>
      <c r="W12" s="24"/>
      <c r="X12" s="24"/>
      <c r="Y12" s="24"/>
      <c r="Z12" s="24"/>
      <c r="AA12" s="24"/>
      <c r="AB12" s="24"/>
    </row>
    <row r="13" spans="1:28" x14ac:dyDescent="0.3">
      <c r="A13" s="40"/>
      <c r="B13" s="40"/>
      <c r="C13" s="40"/>
      <c r="D13" s="40"/>
      <c r="E13" s="40"/>
      <c r="F13" s="40"/>
      <c r="G13" s="40"/>
      <c r="H13" s="40"/>
      <c r="I13" s="40"/>
      <c r="J13" s="40"/>
      <c r="K13" s="40"/>
      <c r="L13" s="40"/>
      <c r="M13" s="40"/>
      <c r="N13" s="40"/>
      <c r="O13" s="40"/>
      <c r="P13" s="40"/>
      <c r="Q13" s="40"/>
      <c r="R13" s="40"/>
      <c r="S13" s="40"/>
      <c r="T13" s="40"/>
      <c r="U13" s="40"/>
      <c r="V13" s="24"/>
      <c r="W13" s="24"/>
      <c r="X13" s="24"/>
      <c r="Y13" s="24"/>
      <c r="Z13" s="24"/>
      <c r="AA13" s="24"/>
      <c r="AB13" s="24"/>
    </row>
    <row r="14" spans="1:28" x14ac:dyDescent="0.3">
      <c r="A14" s="40"/>
      <c r="B14" s="40"/>
      <c r="C14" s="40"/>
      <c r="D14" s="40"/>
      <c r="E14" s="40"/>
      <c r="F14" s="40"/>
      <c r="G14" s="40"/>
      <c r="H14" s="40"/>
      <c r="I14" s="40"/>
      <c r="J14" s="40"/>
      <c r="K14" s="40"/>
      <c r="L14" s="40"/>
      <c r="M14" s="40"/>
      <c r="N14" s="40"/>
      <c r="O14" s="40"/>
      <c r="P14" s="40"/>
      <c r="Q14" s="40"/>
      <c r="R14" s="40"/>
      <c r="S14" s="40"/>
      <c r="T14" s="40"/>
      <c r="U14" s="40"/>
      <c r="V14" s="24"/>
      <c r="W14" s="24"/>
      <c r="X14" s="24"/>
      <c r="Y14" s="24"/>
      <c r="Z14" s="24"/>
      <c r="AA14" s="24"/>
      <c r="AB14" s="24"/>
    </row>
    <row r="15" spans="1:28" x14ac:dyDescent="0.3">
      <c r="A15" s="40"/>
      <c r="B15" s="40"/>
      <c r="C15" s="40"/>
      <c r="D15" s="40"/>
      <c r="E15" s="40"/>
      <c r="F15" s="40"/>
      <c r="G15" s="40"/>
      <c r="H15" s="40"/>
      <c r="I15" s="40"/>
      <c r="J15" s="40"/>
      <c r="K15" s="40"/>
      <c r="L15" s="40"/>
      <c r="M15" s="40"/>
      <c r="N15" s="40"/>
      <c r="O15" s="40"/>
      <c r="P15" s="40"/>
      <c r="Q15" s="40"/>
      <c r="R15" s="40"/>
      <c r="S15" s="40"/>
      <c r="T15" s="40"/>
      <c r="U15" s="40"/>
      <c r="V15" s="45"/>
      <c r="W15" s="24"/>
      <c r="X15" s="24"/>
      <c r="Y15" s="24"/>
      <c r="Z15" s="24"/>
      <c r="AA15" s="24"/>
      <c r="AB15" s="24"/>
    </row>
    <row r="16" spans="1:28" x14ac:dyDescent="0.3">
      <c r="A16" s="40"/>
      <c r="B16" s="40"/>
      <c r="C16" s="40"/>
      <c r="D16" s="40"/>
      <c r="E16" s="40"/>
      <c r="F16" s="40"/>
      <c r="G16" s="40"/>
      <c r="H16" s="40"/>
      <c r="I16" s="40"/>
      <c r="J16" s="40"/>
      <c r="K16" s="40"/>
      <c r="L16" s="40"/>
      <c r="M16" s="40"/>
      <c r="N16" s="40"/>
      <c r="O16" s="40"/>
      <c r="P16" s="40"/>
      <c r="Q16" s="40"/>
      <c r="R16" s="40"/>
      <c r="S16" s="40"/>
      <c r="T16" s="40"/>
      <c r="U16" s="40"/>
      <c r="V16" s="24"/>
      <c r="W16" s="24"/>
      <c r="X16" s="24"/>
      <c r="Y16" s="24"/>
      <c r="Z16" s="24"/>
      <c r="AA16" s="24"/>
      <c r="AB16" s="24"/>
    </row>
    <row r="17" spans="1:28" x14ac:dyDescent="0.3">
      <c r="A17" s="40"/>
      <c r="B17" s="40"/>
      <c r="C17" s="40"/>
      <c r="D17" s="40"/>
      <c r="E17" s="41"/>
      <c r="F17" s="40"/>
      <c r="G17" s="40"/>
      <c r="H17" s="40"/>
      <c r="I17" s="40"/>
      <c r="J17" s="40"/>
      <c r="K17" s="40"/>
      <c r="L17" s="40"/>
      <c r="M17" s="40"/>
      <c r="N17" s="40"/>
      <c r="O17" s="40"/>
      <c r="P17" s="40"/>
      <c r="Q17" s="40"/>
      <c r="R17" s="40"/>
      <c r="S17" s="40"/>
      <c r="T17" s="40"/>
      <c r="U17" s="40"/>
      <c r="V17" s="43"/>
      <c r="W17" s="43"/>
      <c r="X17" s="24"/>
      <c r="Y17" s="24"/>
      <c r="Z17" s="24"/>
      <c r="AA17" s="24"/>
      <c r="AB17" s="24"/>
    </row>
    <row r="18" spans="1:28" x14ac:dyDescent="0.3">
      <c r="A18" s="40"/>
      <c r="B18" s="40"/>
      <c r="C18" s="40"/>
      <c r="D18" s="40"/>
      <c r="E18" s="40"/>
      <c r="F18" s="40"/>
      <c r="G18" s="40"/>
      <c r="H18" s="40"/>
      <c r="I18" s="40"/>
      <c r="J18" s="40"/>
      <c r="K18" s="40"/>
      <c r="L18" s="40"/>
      <c r="M18" s="40"/>
      <c r="N18" s="47"/>
      <c r="O18" s="48" t="str" cm="1">
        <f t="array" ref="O18:S18">Pivots!B80:F80</f>
        <v>R01</v>
      </c>
      <c r="P18" s="48" t="str">
        <v>R02</v>
      </c>
      <c r="Q18" s="48" t="str">
        <v>R03</v>
      </c>
      <c r="R18" s="48" t="str">
        <v>R04</v>
      </c>
      <c r="S18" s="48" t="str">
        <v>R05</v>
      </c>
      <c r="T18" s="48" t="s">
        <v>1077</v>
      </c>
      <c r="U18" s="40"/>
      <c r="V18" s="24"/>
      <c r="W18" s="44"/>
      <c r="X18" s="24"/>
      <c r="Y18" s="24"/>
      <c r="Z18" s="24"/>
      <c r="AA18" s="24"/>
      <c r="AB18" s="24"/>
    </row>
    <row r="19" spans="1:28" x14ac:dyDescent="0.3">
      <c r="A19" s="40"/>
      <c r="B19" s="40"/>
      <c r="C19" s="40"/>
      <c r="D19" s="40"/>
      <c r="E19" s="40"/>
      <c r="F19" s="40"/>
      <c r="G19" s="40"/>
      <c r="H19" s="40"/>
      <c r="I19" s="40"/>
      <c r="J19" s="40"/>
      <c r="K19" s="40"/>
      <c r="L19" s="40"/>
      <c r="M19" s="40"/>
      <c r="N19" s="31" t="str" cm="1">
        <f t="array" ref="N19:T36">IF(Pivots!A81:G98="","",Pivots!A81:G98)</f>
        <v>Cincinnati</v>
      </c>
      <c r="O19" s="32" t="str">
        <v/>
      </c>
      <c r="P19" s="32" t="str">
        <v/>
      </c>
      <c r="Q19" s="32" t="str">
        <v/>
      </c>
      <c r="R19" s="32" t="str">
        <v/>
      </c>
      <c r="S19" s="32" t="str">
        <v/>
      </c>
      <c r="T19" s="33" t="str">
        <v/>
      </c>
      <c r="U19" s="40"/>
      <c r="V19" s="24"/>
      <c r="W19" s="24"/>
      <c r="X19" s="24"/>
      <c r="Y19" s="24"/>
      <c r="Z19" s="24"/>
      <c r="AA19" s="24"/>
      <c r="AB19" s="24"/>
    </row>
    <row r="20" spans="1:28" x14ac:dyDescent="0.3">
      <c r="A20" s="40"/>
      <c r="B20" s="40"/>
      <c r="C20" s="40"/>
      <c r="D20" s="40"/>
      <c r="E20" s="40"/>
      <c r="F20" s="40"/>
      <c r="G20" s="40"/>
      <c r="H20" s="40"/>
      <c r="I20" s="40"/>
      <c r="J20" s="40"/>
      <c r="K20" s="40"/>
      <c r="L20" s="40"/>
      <c r="M20" s="40"/>
      <c r="N20" s="34" t="str">
        <v>C0003</v>
      </c>
      <c r="O20" s="35">
        <v>891</v>
      </c>
      <c r="P20" s="35">
        <v>1332</v>
      </c>
      <c r="Q20" s="35">
        <v>1282</v>
      </c>
      <c r="R20" s="35">
        <v>739</v>
      </c>
      <c r="S20" s="35">
        <v>560</v>
      </c>
      <c r="T20" s="36">
        <v>4804</v>
      </c>
      <c r="U20" s="40"/>
      <c r="V20" s="42"/>
      <c r="W20" s="24"/>
      <c r="X20" s="24"/>
      <c r="Y20" s="24"/>
      <c r="Z20" s="24"/>
      <c r="AA20" s="24"/>
      <c r="AB20" s="24"/>
    </row>
    <row r="21" spans="1:28" x14ac:dyDescent="0.3">
      <c r="A21" s="40"/>
      <c r="B21" s="40"/>
      <c r="C21" s="40"/>
      <c r="D21" s="40"/>
      <c r="E21" s="40"/>
      <c r="F21" s="40"/>
      <c r="G21" s="40"/>
      <c r="H21" s="40"/>
      <c r="I21" s="40"/>
      <c r="J21" s="40"/>
      <c r="K21" s="40"/>
      <c r="L21" s="40"/>
      <c r="M21" s="40"/>
      <c r="N21" s="34" t="str">
        <v>C0004</v>
      </c>
      <c r="O21" s="35">
        <v>1991</v>
      </c>
      <c r="P21" s="35">
        <v>1886</v>
      </c>
      <c r="Q21" s="35">
        <v>1206</v>
      </c>
      <c r="R21" s="35">
        <v>884</v>
      </c>
      <c r="S21" s="35">
        <v>1722</v>
      </c>
      <c r="T21" s="36">
        <v>7689</v>
      </c>
      <c r="U21" s="40"/>
      <c r="V21" s="24"/>
      <c r="W21" s="24"/>
      <c r="X21" s="24"/>
      <c r="Y21" s="24"/>
      <c r="Z21" s="24"/>
      <c r="AA21" s="24"/>
      <c r="AB21" s="24"/>
    </row>
    <row r="22" spans="1:28" x14ac:dyDescent="0.3">
      <c r="A22" s="40"/>
      <c r="B22" s="40"/>
      <c r="C22" s="40"/>
      <c r="D22" s="40"/>
      <c r="E22" s="40"/>
      <c r="F22" s="40"/>
      <c r="G22" s="40"/>
      <c r="H22" s="40"/>
      <c r="I22" s="40"/>
      <c r="J22" s="40"/>
      <c r="K22" s="40"/>
      <c r="L22" s="40"/>
      <c r="M22" s="40"/>
      <c r="N22" s="34" t="str">
        <v>C0011</v>
      </c>
      <c r="O22" s="35">
        <v>1163</v>
      </c>
      <c r="P22" s="35">
        <v>1180</v>
      </c>
      <c r="Q22" s="35">
        <v>1616</v>
      </c>
      <c r="R22" s="35">
        <v>1043</v>
      </c>
      <c r="S22" s="35">
        <v>1747</v>
      </c>
      <c r="T22" s="36">
        <v>6749</v>
      </c>
      <c r="U22" s="40"/>
      <c r="V22" s="24"/>
      <c r="W22" s="24"/>
      <c r="X22" s="24"/>
      <c r="Y22" s="24"/>
      <c r="Z22" s="24"/>
      <c r="AA22" s="24"/>
      <c r="AB22" s="24"/>
    </row>
    <row r="23" spans="1:28" x14ac:dyDescent="0.3">
      <c r="A23" s="40"/>
      <c r="B23" s="40"/>
      <c r="C23" s="40"/>
      <c r="D23" s="40"/>
      <c r="E23" s="40"/>
      <c r="F23" s="40"/>
      <c r="G23" s="40"/>
      <c r="H23" s="40"/>
      <c r="I23" s="40"/>
      <c r="J23" s="40"/>
      <c r="K23" s="40"/>
      <c r="L23" s="40"/>
      <c r="M23" s="40"/>
      <c r="N23" s="34" t="str">
        <v>C0012</v>
      </c>
      <c r="O23" s="35">
        <v>1438</v>
      </c>
      <c r="P23" s="35">
        <v>1616</v>
      </c>
      <c r="Q23" s="35">
        <v>866</v>
      </c>
      <c r="R23" s="35">
        <v>829</v>
      </c>
      <c r="S23" s="35">
        <v>2070</v>
      </c>
      <c r="T23" s="36">
        <v>6819</v>
      </c>
      <c r="U23" s="40"/>
      <c r="V23" s="24"/>
      <c r="W23" s="24"/>
      <c r="X23" s="24"/>
      <c r="Y23" s="24"/>
      <c r="Z23" s="24"/>
      <c r="AA23" s="24"/>
      <c r="AB23" s="24"/>
    </row>
    <row r="24" spans="1:28" x14ac:dyDescent="0.3">
      <c r="A24" s="40"/>
      <c r="B24" s="40"/>
      <c r="C24" s="40"/>
      <c r="D24" s="40"/>
      <c r="E24" s="40"/>
      <c r="F24" s="40"/>
      <c r="G24" s="40"/>
      <c r="H24" s="40"/>
      <c r="I24" s="40"/>
      <c r="J24" s="40"/>
      <c r="K24" s="40"/>
      <c r="L24" s="40"/>
      <c r="M24" s="40"/>
      <c r="N24" s="31" t="str">
        <v>Cleveland</v>
      </c>
      <c r="O24" s="35" t="str">
        <v/>
      </c>
      <c r="P24" s="35" t="str">
        <v/>
      </c>
      <c r="Q24" s="35" t="str">
        <v/>
      </c>
      <c r="R24" s="35" t="str">
        <v/>
      </c>
      <c r="S24" s="35" t="str">
        <v/>
      </c>
      <c r="T24" s="36" t="str">
        <v/>
      </c>
      <c r="U24" s="40"/>
      <c r="V24" s="24"/>
      <c r="W24" s="24"/>
      <c r="X24" s="24"/>
      <c r="Y24" s="24"/>
      <c r="Z24" s="24"/>
      <c r="AA24" s="24"/>
      <c r="AB24" s="24"/>
    </row>
    <row r="25" spans="1:28" x14ac:dyDescent="0.3">
      <c r="A25" s="40"/>
      <c r="B25" s="40"/>
      <c r="C25" s="40"/>
      <c r="D25" s="40"/>
      <c r="E25" s="40"/>
      <c r="F25" s="40"/>
      <c r="G25" s="40"/>
      <c r="H25" s="40"/>
      <c r="I25" s="40"/>
      <c r="J25" s="40"/>
      <c r="K25" s="40"/>
      <c r="L25" s="40"/>
      <c r="M25" s="40"/>
      <c r="N25" s="34" t="str">
        <v>C0002</v>
      </c>
      <c r="O25" s="35">
        <v>1233</v>
      </c>
      <c r="P25" s="35">
        <v>223</v>
      </c>
      <c r="Q25" s="35">
        <v>1680</v>
      </c>
      <c r="R25" s="35">
        <v>990</v>
      </c>
      <c r="S25" s="35">
        <v>1508</v>
      </c>
      <c r="T25" s="36">
        <v>5634</v>
      </c>
      <c r="U25" s="40"/>
      <c r="V25" s="24"/>
      <c r="W25" s="24"/>
      <c r="X25" s="24"/>
      <c r="Y25" s="24"/>
      <c r="Z25" s="24"/>
      <c r="AA25" s="24"/>
      <c r="AB25" s="24"/>
    </row>
    <row r="26" spans="1:28" x14ac:dyDescent="0.3">
      <c r="A26" s="40"/>
      <c r="B26" s="40"/>
      <c r="C26" s="40"/>
      <c r="D26" s="40"/>
      <c r="E26" s="40"/>
      <c r="F26" s="40"/>
      <c r="G26" s="40"/>
      <c r="H26" s="40"/>
      <c r="I26" s="40"/>
      <c r="J26" s="40"/>
      <c r="K26" s="40"/>
      <c r="L26" s="40"/>
      <c r="M26" s="40"/>
      <c r="N26" s="34" t="str">
        <v>C0007</v>
      </c>
      <c r="O26" s="35">
        <v>1598</v>
      </c>
      <c r="P26" s="35">
        <v>1907</v>
      </c>
      <c r="Q26" s="35">
        <v>869</v>
      </c>
      <c r="R26" s="35">
        <v>1426</v>
      </c>
      <c r="S26" s="35">
        <v>1416</v>
      </c>
      <c r="T26" s="36">
        <v>7216</v>
      </c>
      <c r="U26" s="40"/>
      <c r="V26" s="24"/>
      <c r="W26" s="24"/>
      <c r="X26" s="24"/>
      <c r="Y26" s="24"/>
      <c r="Z26" s="24"/>
      <c r="AA26" s="24"/>
      <c r="AB26" s="24"/>
    </row>
    <row r="27" spans="1:28" x14ac:dyDescent="0.3">
      <c r="A27" s="40"/>
      <c r="B27" s="40"/>
      <c r="C27" s="40"/>
      <c r="D27" s="40"/>
      <c r="E27" s="40"/>
      <c r="F27" s="40"/>
      <c r="G27" s="40"/>
      <c r="H27" s="40"/>
      <c r="I27" s="40"/>
      <c r="J27" s="40"/>
      <c r="K27" s="40"/>
      <c r="L27" s="40"/>
      <c r="M27" s="40"/>
      <c r="N27" s="34" t="str">
        <v>C0008</v>
      </c>
      <c r="O27" s="35">
        <v>900</v>
      </c>
      <c r="P27" s="35">
        <v>1016</v>
      </c>
      <c r="Q27" s="35">
        <v>960</v>
      </c>
      <c r="R27" s="35">
        <v>940</v>
      </c>
      <c r="S27" s="35">
        <v>1193</v>
      </c>
      <c r="T27" s="36">
        <v>5009</v>
      </c>
      <c r="U27" s="40"/>
      <c r="V27" s="28"/>
      <c r="W27" s="24"/>
      <c r="X27" s="24"/>
      <c r="Y27" s="24"/>
      <c r="Z27" s="24"/>
      <c r="AA27" s="24"/>
      <c r="AB27" s="24"/>
    </row>
    <row r="28" spans="1:28" x14ac:dyDescent="0.3">
      <c r="A28" s="40"/>
      <c r="B28" s="40"/>
      <c r="C28" s="40"/>
      <c r="D28" s="40"/>
      <c r="E28" s="40"/>
      <c r="F28" s="40"/>
      <c r="G28" s="40"/>
      <c r="H28" s="40"/>
      <c r="I28" s="40"/>
      <c r="J28" s="40"/>
      <c r="K28" s="40"/>
      <c r="L28" s="51" t="str">
        <f>Pivots!H68</f>
        <v>R02</v>
      </c>
      <c r="M28" s="52"/>
      <c r="N28" s="34" t="str">
        <v>C0010</v>
      </c>
      <c r="O28" s="35">
        <v>900</v>
      </c>
      <c r="P28" s="35">
        <v>1470</v>
      </c>
      <c r="Q28" s="35">
        <v>1617</v>
      </c>
      <c r="R28" s="35">
        <v>1314</v>
      </c>
      <c r="S28" s="35">
        <v>941</v>
      </c>
      <c r="T28" s="36">
        <v>6242</v>
      </c>
      <c r="U28" s="40"/>
      <c r="V28" s="24"/>
      <c r="W28" s="24"/>
      <c r="X28" s="24"/>
      <c r="Y28" s="24"/>
      <c r="Z28" s="24"/>
      <c r="AA28" s="24"/>
      <c r="AB28" s="24"/>
    </row>
    <row r="29" spans="1:28" x14ac:dyDescent="0.3">
      <c r="A29" s="40"/>
      <c r="B29" s="40"/>
      <c r="C29" s="40"/>
      <c r="D29" s="40"/>
      <c r="E29" s="40"/>
      <c r="F29" s="40"/>
      <c r="G29" s="40"/>
      <c r="H29" s="40"/>
      <c r="I29" s="40"/>
      <c r="J29" s="40"/>
      <c r="K29" s="40"/>
      <c r="L29" s="51"/>
      <c r="M29" s="52"/>
      <c r="N29" s="34" t="str">
        <v>C0013</v>
      </c>
      <c r="O29" s="35">
        <v>1255</v>
      </c>
      <c r="P29" s="35">
        <v>516</v>
      </c>
      <c r="Q29" s="35">
        <v>1874</v>
      </c>
      <c r="R29" s="35">
        <v>1863</v>
      </c>
      <c r="S29" s="35">
        <v>1722</v>
      </c>
      <c r="T29" s="36">
        <v>7230</v>
      </c>
      <c r="U29" s="40"/>
      <c r="V29" s="24"/>
      <c r="W29" s="24"/>
      <c r="X29" s="24"/>
      <c r="Y29" s="24"/>
      <c r="Z29" s="24"/>
      <c r="AA29" s="24"/>
      <c r="AB29" s="24"/>
    </row>
    <row r="30" spans="1:28" x14ac:dyDescent="0.3">
      <c r="A30" s="40"/>
      <c r="B30" s="40"/>
      <c r="C30" s="40"/>
      <c r="D30" s="40"/>
      <c r="E30" s="40"/>
      <c r="F30" s="40"/>
      <c r="G30" s="40"/>
      <c r="H30" s="40"/>
      <c r="I30" s="40"/>
      <c r="J30" s="40"/>
      <c r="K30" s="40"/>
      <c r="L30" s="51"/>
      <c r="M30" s="52"/>
      <c r="N30" s="34" t="str">
        <v>C0015</v>
      </c>
      <c r="O30" s="35">
        <v>1138</v>
      </c>
      <c r="P30" s="35">
        <v>1898</v>
      </c>
      <c r="Q30" s="35">
        <v>1482</v>
      </c>
      <c r="R30" s="35">
        <v>846</v>
      </c>
      <c r="S30" s="35">
        <v>1154</v>
      </c>
      <c r="T30" s="36">
        <v>6518</v>
      </c>
      <c r="U30" s="40"/>
      <c r="V30" s="24"/>
      <c r="W30" s="24"/>
      <c r="X30" s="24"/>
      <c r="Y30" s="24"/>
      <c r="Z30" s="24"/>
      <c r="AA30" s="24"/>
      <c r="AB30" s="24"/>
    </row>
    <row r="31" spans="1:28" x14ac:dyDescent="0.3">
      <c r="A31" s="40"/>
      <c r="B31" s="40"/>
      <c r="C31" s="40"/>
      <c r="D31" s="40"/>
      <c r="E31" s="40"/>
      <c r="F31" s="40"/>
      <c r="G31" s="40"/>
      <c r="H31" s="40"/>
      <c r="I31" s="40"/>
      <c r="J31" s="40"/>
      <c r="K31" s="40"/>
      <c r="L31" s="51"/>
      <c r="M31" s="52"/>
      <c r="N31" s="31" t="str">
        <v>Columbus</v>
      </c>
      <c r="O31" s="35" t="str">
        <v/>
      </c>
      <c r="P31" s="35" t="str">
        <v/>
      </c>
      <c r="Q31" s="35" t="str">
        <v/>
      </c>
      <c r="R31" s="35" t="str">
        <v/>
      </c>
      <c r="S31" s="35" t="str">
        <v/>
      </c>
      <c r="T31" s="36" t="str">
        <v/>
      </c>
      <c r="U31" s="40"/>
      <c r="V31" s="24"/>
      <c r="W31" s="24"/>
      <c r="X31" s="24"/>
      <c r="Y31" s="24"/>
      <c r="Z31" s="24"/>
      <c r="AA31" s="24"/>
      <c r="AB31" s="24"/>
    </row>
    <row r="32" spans="1:28" x14ac:dyDescent="0.3">
      <c r="A32" s="40"/>
      <c r="B32" s="40"/>
      <c r="C32" s="40"/>
      <c r="D32" s="40"/>
      <c r="E32" s="40"/>
      <c r="F32" s="40"/>
      <c r="G32" s="40"/>
      <c r="H32" s="40"/>
      <c r="I32" s="40"/>
      <c r="J32" s="40"/>
      <c r="K32" s="40"/>
      <c r="L32" s="51"/>
      <c r="M32" s="52"/>
      <c r="N32" s="34" t="str">
        <v>C0001</v>
      </c>
      <c r="O32" s="35">
        <v>1655</v>
      </c>
      <c r="P32" s="35">
        <v>805</v>
      </c>
      <c r="Q32" s="35">
        <v>2263</v>
      </c>
      <c r="R32" s="35">
        <v>987</v>
      </c>
      <c r="S32" s="35">
        <v>1075</v>
      </c>
      <c r="T32" s="36">
        <v>6785</v>
      </c>
      <c r="U32" s="40"/>
      <c r="V32" s="24"/>
      <c r="W32" s="24"/>
      <c r="X32" s="24"/>
      <c r="Y32" s="24"/>
      <c r="Z32" s="24"/>
      <c r="AA32" s="24"/>
      <c r="AB32" s="24"/>
    </row>
    <row r="33" spans="1:28" x14ac:dyDescent="0.3">
      <c r="A33" s="40"/>
      <c r="B33" s="40"/>
      <c r="C33" s="40"/>
      <c r="D33" s="40"/>
      <c r="E33" s="40"/>
      <c r="F33" s="40"/>
      <c r="G33" s="40"/>
      <c r="H33" s="40"/>
      <c r="I33" s="40"/>
      <c r="J33" s="40"/>
      <c r="K33" s="40"/>
      <c r="L33" s="53" t="str">
        <f>Pivots!H63</f>
        <v>% of calls:22%</v>
      </c>
      <c r="M33" s="54"/>
      <c r="N33" s="34" t="str">
        <v>C0005</v>
      </c>
      <c r="O33" s="35">
        <v>1104</v>
      </c>
      <c r="P33" s="35">
        <v>2280</v>
      </c>
      <c r="Q33" s="35">
        <v>1445</v>
      </c>
      <c r="R33" s="35">
        <v>1722</v>
      </c>
      <c r="S33" s="35">
        <v>1196</v>
      </c>
      <c r="T33" s="36">
        <v>7747</v>
      </c>
      <c r="U33" s="40"/>
      <c r="V33" s="24"/>
      <c r="W33" s="24"/>
      <c r="X33" s="24"/>
      <c r="Y33" s="24"/>
      <c r="Z33" s="24"/>
      <c r="AA33" s="24"/>
      <c r="AB33" s="24"/>
    </row>
    <row r="34" spans="1:28" x14ac:dyDescent="0.3">
      <c r="A34" s="40"/>
      <c r="B34" s="40"/>
      <c r="C34" s="40"/>
      <c r="D34" s="40"/>
      <c r="E34" s="40"/>
      <c r="F34" s="40"/>
      <c r="G34" s="40"/>
      <c r="H34" s="40"/>
      <c r="I34" s="40"/>
      <c r="J34" s="40"/>
      <c r="K34" s="40"/>
      <c r="L34" s="53" t="str">
        <f>Pivots!H64</f>
        <v>Call Rank:1</v>
      </c>
      <c r="M34" s="54"/>
      <c r="N34" s="34" t="str">
        <v>C0006</v>
      </c>
      <c r="O34" s="35">
        <v>372</v>
      </c>
      <c r="P34" s="35">
        <v>1818</v>
      </c>
      <c r="Q34" s="35">
        <v>1346</v>
      </c>
      <c r="R34" s="35">
        <v>1156</v>
      </c>
      <c r="S34" s="35">
        <v>1484</v>
      </c>
      <c r="T34" s="36">
        <v>6176</v>
      </c>
      <c r="U34" s="40"/>
      <c r="V34" s="24"/>
      <c r="W34" s="24"/>
      <c r="X34" s="24"/>
      <c r="Y34" s="24"/>
      <c r="Z34" s="24"/>
      <c r="AA34" s="24"/>
      <c r="AB34" s="24"/>
    </row>
    <row r="35" spans="1:28" x14ac:dyDescent="0.3">
      <c r="A35" s="40"/>
      <c r="B35" s="40"/>
      <c r="C35" s="40"/>
      <c r="D35" s="40"/>
      <c r="E35" s="40"/>
      <c r="F35" s="40"/>
      <c r="G35" s="40"/>
      <c r="H35" s="40"/>
      <c r="I35" s="40"/>
      <c r="J35" s="40"/>
      <c r="K35" s="40"/>
      <c r="L35" s="53" t="str">
        <f>Pivots!H65</f>
        <v>Amount Rank:2</v>
      </c>
      <c r="M35" s="54"/>
      <c r="N35" s="34" t="str">
        <v>C0009</v>
      </c>
      <c r="O35" s="35">
        <v>1415</v>
      </c>
      <c r="P35" s="35">
        <v>1271</v>
      </c>
      <c r="Q35" s="35">
        <v>1214</v>
      </c>
      <c r="R35" s="35">
        <v>1135</v>
      </c>
      <c r="S35" s="35">
        <v>1566</v>
      </c>
      <c r="T35" s="36">
        <v>6601</v>
      </c>
      <c r="U35" s="40"/>
      <c r="V35" s="24"/>
      <c r="W35" s="24"/>
      <c r="X35" s="24"/>
      <c r="Y35" s="24"/>
      <c r="Z35" s="24"/>
      <c r="AA35" s="24"/>
      <c r="AB35" s="24"/>
    </row>
    <row r="36" spans="1:28" x14ac:dyDescent="0.3">
      <c r="A36" s="40"/>
      <c r="B36" s="40"/>
      <c r="C36" s="40"/>
      <c r="D36" s="40"/>
      <c r="E36" s="40"/>
      <c r="F36" s="40"/>
      <c r="G36" s="40"/>
      <c r="H36" s="40"/>
      <c r="I36" s="40"/>
      <c r="J36" s="40"/>
      <c r="K36" s="40"/>
      <c r="L36" s="24"/>
      <c r="M36" s="24"/>
      <c r="N36" s="37" t="str">
        <v>C0014</v>
      </c>
      <c r="O36" s="38">
        <v>1362</v>
      </c>
      <c r="P36" s="38">
        <v>1363</v>
      </c>
      <c r="Q36" s="38">
        <v>1152</v>
      </c>
      <c r="R36" s="38">
        <v>777</v>
      </c>
      <c r="S36" s="38">
        <v>750</v>
      </c>
      <c r="T36" s="39">
        <v>5404</v>
      </c>
      <c r="U36" s="40"/>
      <c r="V36" s="24"/>
      <c r="W36" s="24"/>
      <c r="X36" s="24"/>
      <c r="Y36" s="24"/>
      <c r="Z36" s="24"/>
      <c r="AA36" s="24"/>
      <c r="AB36" s="24"/>
    </row>
    <row r="37" spans="1:28" x14ac:dyDescent="0.3">
      <c r="A37" s="40"/>
      <c r="B37" s="40"/>
      <c r="C37" s="40"/>
      <c r="D37" s="40"/>
      <c r="E37" s="40"/>
      <c r="F37" s="40"/>
      <c r="G37" s="40"/>
      <c r="H37" s="40"/>
      <c r="I37" s="40"/>
      <c r="J37" s="40"/>
      <c r="K37" s="40"/>
      <c r="L37" s="40"/>
      <c r="M37" s="40"/>
      <c r="N37" s="40"/>
      <c r="O37" s="40"/>
      <c r="P37" s="40"/>
      <c r="Q37" s="40"/>
      <c r="R37" s="40"/>
      <c r="S37" s="40"/>
      <c r="T37" s="40"/>
      <c r="U37" s="40"/>
      <c r="V37" s="24"/>
      <c r="W37" s="24"/>
      <c r="X37" s="24"/>
      <c r="Y37" s="24"/>
      <c r="Z37" s="24"/>
      <c r="AA37" s="24"/>
      <c r="AB37" s="24"/>
    </row>
    <row r="38" spans="1:28" x14ac:dyDescent="0.3">
      <c r="A38" s="40"/>
      <c r="B38" s="40"/>
      <c r="C38" s="40"/>
      <c r="D38" s="40"/>
      <c r="E38" s="40"/>
      <c r="F38" s="40"/>
      <c r="G38" s="40"/>
      <c r="H38" s="40"/>
      <c r="I38" s="40"/>
      <c r="J38" s="40"/>
      <c r="K38" s="40"/>
      <c r="L38" s="40"/>
      <c r="M38" s="40"/>
      <c r="N38" s="40"/>
      <c r="O38" s="40"/>
      <c r="P38" s="40"/>
      <c r="Q38" s="40"/>
      <c r="R38" s="40"/>
      <c r="S38" s="40"/>
      <c r="T38" s="40"/>
      <c r="U38" s="40"/>
      <c r="V38" s="24"/>
      <c r="W38" s="24"/>
      <c r="X38" s="24"/>
      <c r="Y38" s="24"/>
      <c r="Z38" s="24"/>
      <c r="AA38" s="24"/>
      <c r="AB38" s="24"/>
    </row>
    <row r="39" spans="1:28" x14ac:dyDescent="0.3">
      <c r="A39" s="40"/>
      <c r="B39" s="40"/>
      <c r="C39" s="40"/>
      <c r="D39" s="40"/>
      <c r="E39" s="40"/>
      <c r="F39" s="40"/>
      <c r="G39" s="40"/>
      <c r="H39" s="40"/>
      <c r="I39" s="40"/>
      <c r="J39" s="40"/>
      <c r="K39" s="40"/>
      <c r="L39" s="40"/>
      <c r="M39" s="40"/>
      <c r="N39" s="40"/>
      <c r="O39" s="40"/>
      <c r="P39" s="40"/>
      <c r="Q39" s="40"/>
      <c r="R39" s="40"/>
      <c r="S39" s="40"/>
      <c r="T39" s="40"/>
      <c r="U39" s="40"/>
      <c r="V39" s="24"/>
      <c r="W39" s="24"/>
      <c r="X39" s="24"/>
      <c r="Y39" s="24"/>
      <c r="Z39" s="24"/>
      <c r="AA39" s="24"/>
      <c r="AB39" s="24"/>
    </row>
    <row r="40" spans="1:28" x14ac:dyDescent="0.3">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row>
    <row r="41" spans="1:28" x14ac:dyDescent="0.3">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row>
    <row r="42" spans="1:28" x14ac:dyDescent="0.3">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row>
    <row r="43" spans="1:28" x14ac:dyDescent="0.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row>
    <row r="44" spans="1:28" x14ac:dyDescent="0.3">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row>
    <row r="45" spans="1:28" x14ac:dyDescent="0.3">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row>
  </sheetData>
  <mergeCells count="5">
    <mergeCell ref="B1:T1"/>
    <mergeCell ref="L28:M32"/>
    <mergeCell ref="L33:M33"/>
    <mergeCell ref="L34:M34"/>
    <mergeCell ref="L35:M35"/>
  </mergeCells>
  <conditionalFormatting sqref="O20:S36">
    <cfRule type="dataBar" priority="2">
      <dataBar>
        <cfvo type="num" val="0"/>
        <cfvo type="formula" val="MAX($O$20:$S$36)*2"/>
        <color rgb="FF638EC6"/>
      </dataBar>
      <extLst>
        <ext xmlns:x14="http://schemas.microsoft.com/office/spreadsheetml/2009/9/main" uri="{B025F937-C7B1-47D3-B67F-A62EFF666E3E}">
          <x14:id>{BCBA9C7C-1EA6-45D1-B6CA-718C80F4B00B}</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0241F8C0-2CD9-4514-88A9-D5345F186B92}">
            <xm:f>O$18=Pivots!$A$53</xm:f>
            <x14:dxf>
              <fill>
                <patternFill>
                  <bgColor theme="2"/>
                </patternFill>
              </fill>
              <border>
                <left style="thin">
                  <color theme="2" tint="-0.499984740745262"/>
                </left>
                <right style="thin">
                  <color theme="2" tint="-0.499984740745262"/>
                </right>
                <top style="thin">
                  <color theme="2" tint="-0.499984740745262"/>
                </top>
                <bottom style="thin">
                  <color theme="2" tint="-0.499984740745262"/>
                </bottom>
                <vertical/>
                <horizontal/>
              </border>
            </x14:dxf>
          </x14:cfRule>
          <xm:sqref>O18:S36</xm:sqref>
        </x14:conditionalFormatting>
        <x14:conditionalFormatting xmlns:xm="http://schemas.microsoft.com/office/excel/2006/main">
          <x14:cfRule type="dataBar" id="{BCBA9C7C-1EA6-45D1-B6CA-718C80F4B00B}">
            <x14:dataBar minLength="0" maxLength="100" gradient="0">
              <x14:cfvo type="num">
                <xm:f>0</xm:f>
              </x14:cfvo>
              <x14:cfvo type="formula">
                <xm:f>MAX($O$20:$S$36)*2</xm:f>
              </x14:cfvo>
              <x14:negativeFillColor rgb="FFFF0000"/>
              <x14:axisColor rgb="FF000000"/>
            </x14:dataBar>
          </x14:cfRule>
          <xm:sqref>O20:S36</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Data</vt:lpstr>
      <vt:lpstr>Assets</vt:lpstr>
      <vt:lpstr>Customer Centre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swethajeyaramanbhuvana@outlook.com</cp:lastModifiedBy>
  <dcterms:created xsi:type="dcterms:W3CDTF">2021-03-14T20:21:32Z</dcterms:created>
  <dcterms:modified xsi:type="dcterms:W3CDTF">2026-05-09T07:34:24Z</dcterms:modified>
</cp:coreProperties>
</file>